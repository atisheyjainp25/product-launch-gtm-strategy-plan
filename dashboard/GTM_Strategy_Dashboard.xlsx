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tish\Downloads\Resume\IIT Delhi\Digital Marketing Projects\Product Launch Go-To-Market (GTM) Strategy Plan\dashboard\"/>
    </mc:Choice>
  </mc:AlternateContent>
  <xr:revisionPtr revIDLastSave="0" documentId="13_ncr:1_{22E4D92B-BCE5-4238-9CC6-78861686754B}" xr6:coauthVersionLast="47" xr6:coauthVersionMax="47" xr10:uidLastSave="{00000000-0000-0000-0000-000000000000}"/>
  <bookViews>
    <workbookView xWindow="-98" yWindow="-98" windowWidth="21795" windowHeight="12975" xr2:uid="{E71EEA7D-C4EA-4001-81AF-498A8A6CE86D}"/>
  </bookViews>
  <sheets>
    <sheet name="Dashboard" sheetId="3" r:id="rId1"/>
    <sheet name="Pivots" sheetId="2" state="hidden" r:id="rId2"/>
    <sheet name="Data" sheetId="1" r:id="rId3"/>
  </sheets>
  <definedNames>
    <definedName name="_xlnm.Print_Area" localSheetId="0">Dashboard!$A$1:$O$44</definedName>
    <definedName name="Slicer_Customer_Segment">#N/A</definedName>
    <definedName name="Slicer_Launch_Phase">#N/A</definedName>
    <definedName name="Slicer_Marketing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3" l="1"/>
  <c r="J5" i="3"/>
  <c r="G5" i="3"/>
  <c r="D5" i="3"/>
  <c r="A5" i="3"/>
</calcChain>
</file>

<file path=xl/sharedStrings.xml><?xml version="1.0" encoding="utf-8"?>
<sst xmlns="http://schemas.openxmlformats.org/spreadsheetml/2006/main" count="1259" uniqueCount="193">
  <si>
    <t>Product ID</t>
  </si>
  <si>
    <t>Product Name</t>
  </si>
  <si>
    <t>Product Category</t>
  </si>
  <si>
    <t>Target Market</t>
  </si>
  <si>
    <t>Customer Segment</t>
  </si>
  <si>
    <t>Region</t>
  </si>
  <si>
    <t>Competitor Name</t>
  </si>
  <si>
    <t>Competitor Price</t>
  </si>
  <si>
    <t>Product Price</t>
  </si>
  <si>
    <t>Marketing Channel</t>
  </si>
  <si>
    <t>Campaign Budget</t>
  </si>
  <si>
    <t>Expected Leads</t>
  </si>
  <si>
    <t>Expected Conversions</t>
  </si>
  <si>
    <t>Conversion Rate %</t>
  </si>
  <si>
    <t>Customer Acquisition Cost</t>
  </si>
  <si>
    <t>Revenue Forecast</t>
  </si>
  <si>
    <t>Market Demand Score</t>
  </si>
  <si>
    <t>Product Readiness Score</t>
  </si>
  <si>
    <t>Launch Phase</t>
  </si>
  <si>
    <t>GTM Status</t>
  </si>
  <si>
    <t>Group</t>
  </si>
  <si>
    <t>PRD1001</t>
  </si>
  <si>
    <t>FlowDesk</t>
  </si>
  <si>
    <t>SaaS Platform</t>
  </si>
  <si>
    <t>Southeast Asia</t>
  </si>
  <si>
    <t>Enterprise</t>
  </si>
  <si>
    <t>Pan-India</t>
  </si>
  <si>
    <t>ValuePick</t>
  </si>
  <si>
    <t>Email Marketing</t>
  </si>
  <si>
    <t>Pre-Launch</t>
  </si>
  <si>
    <t>On-Track</t>
  </si>
  <si>
    <t>Total</t>
  </si>
  <si>
    <t>PRD1002</t>
  </si>
  <si>
    <t>OpsHub</t>
  </si>
  <si>
    <t>Domestic Tier-1</t>
  </si>
  <si>
    <t>SMB</t>
  </si>
  <si>
    <t>West</t>
  </si>
  <si>
    <t>ApexBrand</t>
  </si>
  <si>
    <t>Events &amp; PR</t>
  </si>
  <si>
    <t>Soft Launch</t>
  </si>
  <si>
    <t>Delayed</t>
  </si>
  <si>
    <t>PRD1003</t>
  </si>
  <si>
    <t>SonicBuds</t>
  </si>
  <si>
    <t>Consumer Electronics</t>
  </si>
  <si>
    <t>Premium Consumers</t>
  </si>
  <si>
    <t>East</t>
  </si>
  <si>
    <t>PRD1004</t>
  </si>
  <si>
    <t>Channel Partners</t>
  </si>
  <si>
    <t>Scale</t>
  </si>
  <si>
    <t>PRD1005</t>
  </si>
  <si>
    <t>FitPulse</t>
  </si>
  <si>
    <t>Mobile App</t>
  </si>
  <si>
    <t>India</t>
  </si>
  <si>
    <t>Students</t>
  </si>
  <si>
    <t>North</t>
  </si>
  <si>
    <t>RivalCo</t>
  </si>
  <si>
    <t>Influencer Marketing</t>
  </si>
  <si>
    <t>PRD1006</t>
  </si>
  <si>
    <t>TeamSync</t>
  </si>
  <si>
    <t>South</t>
  </si>
  <si>
    <t>FirstMover</t>
  </si>
  <si>
    <t>Content Marketing</t>
  </si>
  <si>
    <t>PRD1007</t>
  </si>
  <si>
    <t>RootBox</t>
  </si>
  <si>
    <t>D2C Product</t>
  </si>
  <si>
    <t>Middle East</t>
  </si>
  <si>
    <t>At-Risk</t>
  </si>
  <si>
    <t>PRD1008</t>
  </si>
  <si>
    <t>Young Professionals</t>
  </si>
  <si>
    <t>Launch</t>
  </si>
  <si>
    <t>Ready</t>
  </si>
  <si>
    <t>PRD1009</t>
  </si>
  <si>
    <t>NovaWatch</t>
  </si>
  <si>
    <t>PRD1010</t>
  </si>
  <si>
    <t>PixelCam</t>
  </si>
  <si>
    <t>Domestic Tier-2</t>
  </si>
  <si>
    <t>Paid Search</t>
  </si>
  <si>
    <t>PRD1011</t>
  </si>
  <si>
    <t>Post-Launch</t>
  </si>
  <si>
    <t>PRD1012</t>
  </si>
  <si>
    <t>Social Media Ads</t>
  </si>
  <si>
    <t>PRD1013</t>
  </si>
  <si>
    <t>BrewCraft</t>
  </si>
  <si>
    <t>PRD1014</t>
  </si>
  <si>
    <t>GlowSerum</t>
  </si>
  <si>
    <t>PRD1015</t>
  </si>
  <si>
    <t>PRD1016</t>
  </si>
  <si>
    <t>LingoLeap</t>
  </si>
  <si>
    <t>PRD1017</t>
  </si>
  <si>
    <t>PRD1018</t>
  </si>
  <si>
    <t>PRD1019</t>
  </si>
  <si>
    <t>PRD1020</t>
  </si>
  <si>
    <t>BudgetBee</t>
  </si>
  <si>
    <t>PRD1021</t>
  </si>
  <si>
    <t>PRD1022</t>
  </si>
  <si>
    <t>PRD1023</t>
  </si>
  <si>
    <t>PRD1024</t>
  </si>
  <si>
    <t>PRD1025</t>
  </si>
  <si>
    <t>PRD1026</t>
  </si>
  <si>
    <t>PRD1027</t>
  </si>
  <si>
    <t>PRD1028</t>
  </si>
  <si>
    <t>PRD1029</t>
  </si>
  <si>
    <t>PRD1030</t>
  </si>
  <si>
    <t>MarketKing</t>
  </si>
  <si>
    <t>PRD1031</t>
  </si>
  <si>
    <t>PRD1032</t>
  </si>
  <si>
    <t>PRD1033</t>
  </si>
  <si>
    <t>PRD1034</t>
  </si>
  <si>
    <t>PRD1035</t>
  </si>
  <si>
    <t>PRD1036</t>
  </si>
  <si>
    <t>PRD1037</t>
  </si>
  <si>
    <t>PRD1038</t>
  </si>
  <si>
    <t>PRD1039</t>
  </si>
  <si>
    <t>PRD1040</t>
  </si>
  <si>
    <t>PRD1041</t>
  </si>
  <si>
    <t>PRD1042</t>
  </si>
  <si>
    <t>PRD1043</t>
  </si>
  <si>
    <t>PRD1044</t>
  </si>
  <si>
    <t>PRD1045</t>
  </si>
  <si>
    <t>PRD1046</t>
  </si>
  <si>
    <t>PRD1047</t>
  </si>
  <si>
    <t>PRD1048</t>
  </si>
  <si>
    <t>PRD1049</t>
  </si>
  <si>
    <t>PRD1050</t>
  </si>
  <si>
    <t>PRD1051</t>
  </si>
  <si>
    <t>PRD1052</t>
  </si>
  <si>
    <t>PRD1053</t>
  </si>
  <si>
    <t>PRD1054</t>
  </si>
  <si>
    <t>PRD1055</t>
  </si>
  <si>
    <t>PRD1056</t>
  </si>
  <si>
    <t>PRD1057</t>
  </si>
  <si>
    <t>PRD1058</t>
  </si>
  <si>
    <t>PRD1059</t>
  </si>
  <si>
    <t>PRD1060</t>
  </si>
  <si>
    <t>PRD1061</t>
  </si>
  <si>
    <t>PRD1062</t>
  </si>
  <si>
    <t>PRD1063</t>
  </si>
  <si>
    <t>PRD1064</t>
  </si>
  <si>
    <t>PRD1065</t>
  </si>
  <si>
    <t>PRD1066</t>
  </si>
  <si>
    <t>PRD1067</t>
  </si>
  <si>
    <t>PRD1068</t>
  </si>
  <si>
    <t>PRD1069</t>
  </si>
  <si>
    <t>PRD1070</t>
  </si>
  <si>
    <t>PRD1071</t>
  </si>
  <si>
    <t>PRD1072</t>
  </si>
  <si>
    <t>PRD1073</t>
  </si>
  <si>
    <t>PRD1074</t>
  </si>
  <si>
    <t>PRD1075</t>
  </si>
  <si>
    <t>PRD1076</t>
  </si>
  <si>
    <t>PRD1077</t>
  </si>
  <si>
    <t>PRD1078</t>
  </si>
  <si>
    <t>PRD1079</t>
  </si>
  <si>
    <t>PRD1080</t>
  </si>
  <si>
    <t>PRD1081</t>
  </si>
  <si>
    <t>PRD1082</t>
  </si>
  <si>
    <t>PRD1083</t>
  </si>
  <si>
    <t>PRD1084</t>
  </si>
  <si>
    <t>PRD1085</t>
  </si>
  <si>
    <t>PRD1086</t>
  </si>
  <si>
    <t>PRD1087</t>
  </si>
  <si>
    <t>PRD1088</t>
  </si>
  <si>
    <t>PRD1089</t>
  </si>
  <si>
    <t>PRD1090</t>
  </si>
  <si>
    <t>PRD1091</t>
  </si>
  <si>
    <t>PRD1092</t>
  </si>
  <si>
    <t>PRD1093</t>
  </si>
  <si>
    <t>PRD1094</t>
  </si>
  <si>
    <t>PRD1095</t>
  </si>
  <si>
    <t>PRD1096</t>
  </si>
  <si>
    <t>PRD1097</t>
  </si>
  <si>
    <t>PRD1098</t>
  </si>
  <si>
    <t>PRD1099</t>
  </si>
  <si>
    <t>PRD1100</t>
  </si>
  <si>
    <t>PRD1101</t>
  </si>
  <si>
    <t>PRD1102</t>
  </si>
  <si>
    <t>PRD1103</t>
  </si>
  <si>
    <t>PRD1104</t>
  </si>
  <si>
    <t>PRD1105</t>
  </si>
  <si>
    <t>PRD1106</t>
  </si>
  <si>
    <t>PRD1107</t>
  </si>
  <si>
    <t>PRD1108</t>
  </si>
  <si>
    <t>Row Labels</t>
  </si>
  <si>
    <t>Grand Total</t>
  </si>
  <si>
    <t>Total Revenue Forecast</t>
  </si>
  <si>
    <t>Avg Market Demand</t>
  </si>
  <si>
    <t>Avg CAC</t>
  </si>
  <si>
    <t>Avg Conversion Rate</t>
  </si>
  <si>
    <t>Avg Readiness</t>
  </si>
  <si>
    <t>Revenue</t>
  </si>
  <si>
    <t>Avg Demand</t>
  </si>
  <si>
    <t>Product Launch Go-To-Market (GTM) Strategy Dashboard</t>
  </si>
  <si>
    <t>Revenue, channel efficiency, demand &amp; readiness  -  interactive: use the slicers on the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</si>
</sst>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quot;/100&quot;"/>
    <numFmt numFmtId="166" formatCode="0.0%"/>
  </numFmts>
  <fonts count="9" x14ac:knownFonts="1">
    <font>
      <sz val="11"/>
      <color theme="1"/>
      <name val="Aptos Narrow"/>
      <family val="2"/>
      <scheme val="minor"/>
    </font>
    <font>
      <b/>
      <sz val="16"/>
      <color rgb="FFFFFFFF"/>
      <name val="Aptos Narrow"/>
      <family val="2"/>
      <scheme val="minor"/>
    </font>
    <font>
      <i/>
      <sz val="9"/>
      <color rgb="FF5A6472"/>
      <name val="Aptos Narrow"/>
      <family val="2"/>
      <scheme val="minor"/>
    </font>
    <font>
      <b/>
      <sz val="8.5"/>
      <color rgb="FF5A6472"/>
      <name val="Aptos Narrow"/>
      <family val="2"/>
      <scheme val="minor"/>
    </font>
    <font>
      <b/>
      <sz val="16"/>
      <color rgb="FF1F3A5F"/>
      <name val="Aptos Narrow"/>
      <family val="2"/>
      <scheme val="minor"/>
    </font>
    <font>
      <b/>
      <sz val="16"/>
      <color rgb="FF2E86AB"/>
      <name val="Aptos Narrow"/>
      <family val="2"/>
      <scheme val="minor"/>
    </font>
    <font>
      <b/>
      <sz val="16"/>
      <color rgb="FFB4436C"/>
      <name val="Aptos Narrow"/>
      <family val="2"/>
      <scheme val="minor"/>
    </font>
    <font>
      <b/>
      <sz val="16"/>
      <color rgb="FF5FB49C"/>
      <name val="Aptos Narrow"/>
      <family val="2"/>
      <scheme val="minor"/>
    </font>
    <font>
      <b/>
      <sz val="16"/>
      <color rgb="FF6A4C93"/>
      <name val="Aptos Narrow"/>
      <family val="2"/>
      <scheme val="minor"/>
    </font>
  </fonts>
  <fills count="5">
    <fill>
      <patternFill patternType="none"/>
    </fill>
    <fill>
      <patternFill patternType="gray125"/>
    </fill>
    <fill>
      <patternFill patternType="solid">
        <fgColor rgb="FFEEF1F5"/>
        <bgColor indexed="64"/>
      </patternFill>
    </fill>
    <fill>
      <patternFill patternType="solid">
        <fgColor rgb="FF1F3A5F"/>
        <bgColor indexed="64"/>
      </patternFill>
    </fill>
    <fill>
      <patternFill patternType="solid">
        <fgColor rgb="FFFFFFFF"/>
        <bgColor indexed="64"/>
      </patternFill>
    </fill>
  </fills>
  <borders count="7">
    <border>
      <left/>
      <right/>
      <top/>
      <bottom/>
      <diagonal/>
    </border>
    <border>
      <left style="thin">
        <color rgb="FFE3E7EC"/>
      </left>
      <right/>
      <top style="thin">
        <color rgb="FFE3E7EC"/>
      </top>
      <bottom/>
      <diagonal/>
    </border>
    <border>
      <left/>
      <right/>
      <top style="thin">
        <color rgb="FFE3E7EC"/>
      </top>
      <bottom/>
      <diagonal/>
    </border>
    <border>
      <left style="thin">
        <color rgb="FFE3E7EC"/>
      </left>
      <right/>
      <top/>
      <bottom style="thin">
        <color rgb="FFE3E7EC"/>
      </bottom>
      <diagonal/>
    </border>
    <border>
      <left/>
      <right/>
      <top/>
      <bottom style="thin">
        <color rgb="FFE3E7EC"/>
      </bottom>
      <diagonal/>
    </border>
    <border>
      <left/>
      <right style="thin">
        <color rgb="FFE3E7EC"/>
      </right>
      <top style="thin">
        <color rgb="FFE3E7EC"/>
      </top>
      <bottom/>
      <diagonal/>
    </border>
    <border>
      <left/>
      <right style="thin">
        <color rgb="FFE3E7EC"/>
      </right>
      <top/>
      <bottom style="thin">
        <color rgb="FFE3E7EC"/>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2" borderId="0" xfId="0" applyFill="1"/>
    <xf numFmtId="0" fontId="3" fillId="4" borderId="1" xfId="0" applyFont="1" applyFill="1" applyBorder="1" applyAlignment="1">
      <alignment horizontal="left" indent="1"/>
    </xf>
    <xf numFmtId="0" fontId="0" fillId="4" borderId="2" xfId="0" applyFill="1" applyBorder="1" applyAlignment="1">
      <alignment horizontal="left" indent="1"/>
    </xf>
    <xf numFmtId="0" fontId="0" fillId="4" borderId="5" xfId="0" applyFill="1" applyBorder="1" applyAlignment="1">
      <alignment horizontal="left" indent="1"/>
    </xf>
    <xf numFmtId="165" fontId="8" fillId="4" borderId="3" xfId="0" applyNumberFormat="1" applyFont="1" applyFill="1" applyBorder="1" applyAlignment="1">
      <alignment horizontal="left" indent="1"/>
    </xf>
    <xf numFmtId="0" fontId="0" fillId="4" borderId="4" xfId="0" applyFill="1" applyBorder="1" applyAlignment="1">
      <alignment horizontal="left" indent="1"/>
    </xf>
    <xf numFmtId="0" fontId="0" fillId="4" borderId="6" xfId="0" applyFill="1" applyBorder="1" applyAlignment="1">
      <alignment horizontal="left" indent="1"/>
    </xf>
    <xf numFmtId="0" fontId="1" fillId="3" borderId="0" xfId="0" applyFont="1" applyFill="1" applyAlignment="1">
      <alignment horizontal="left" vertical="center" indent="1"/>
    </xf>
    <xf numFmtId="0" fontId="0" fillId="2" borderId="0" xfId="0" applyFill="1" applyAlignment="1">
      <alignment horizontal="left" vertical="center" indent="1"/>
    </xf>
    <xf numFmtId="0" fontId="2" fillId="2" borderId="0" xfId="0" applyFont="1" applyFill="1" applyAlignment="1">
      <alignment horizontal="left" indent="1"/>
    </xf>
    <xf numFmtId="0" fontId="0" fillId="2" borderId="0" xfId="0" applyFill="1" applyAlignment="1">
      <alignment horizontal="left" indent="1"/>
    </xf>
    <xf numFmtId="164" fontId="4" fillId="4" borderId="3" xfId="0" applyNumberFormat="1" applyFont="1" applyFill="1" applyBorder="1" applyAlignment="1">
      <alignment horizontal="left" indent="1"/>
    </xf>
    <xf numFmtId="165" fontId="5" fillId="4" borderId="3" xfId="0" applyNumberFormat="1" applyFont="1" applyFill="1" applyBorder="1" applyAlignment="1">
      <alignment horizontal="left" indent="1"/>
    </xf>
    <xf numFmtId="164" fontId="6" fillId="4" borderId="3" xfId="0" applyNumberFormat="1" applyFont="1" applyFill="1" applyBorder="1" applyAlignment="1">
      <alignment horizontal="left" indent="1"/>
    </xf>
    <xf numFmtId="166" fontId="7" fillId="4" borderId="3" xfId="0" applyNumberFormat="1" applyFont="1" applyFill="1" applyBorder="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[GTM_Strategy_Dashboard.xlsx]Pivots!pt0</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Revenue Forecast by Customer Segment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c:f>
              <c:strCache>
                <c:ptCount val="1"/>
                <c:pt idx="0">
                  <c:v>Total</c:v>
                </c:pt>
              </c:strCache>
            </c:strRef>
          </c:tx>
          <c:spPr>
            <a:solidFill>
              <a:srgbClr val="1F3A5F"/>
            </a:solidFill>
            <a:ln>
              <a:noFill/>
            </a:ln>
            <a:effectLst/>
          </c:spPr>
          <c:invertIfNegative val="0"/>
          <c:cat>
            <c:strRef>
              <c:f>Pivots!$I$2:$I$7</c:f>
              <c:strCache>
                <c:ptCount val="5"/>
                <c:pt idx="0">
                  <c:v>Enterprise</c:v>
                </c:pt>
                <c:pt idx="1">
                  <c:v>Premium Consumers</c:v>
                </c:pt>
                <c:pt idx="2">
                  <c:v>SMB</c:v>
                </c:pt>
                <c:pt idx="3">
                  <c:v>Students</c:v>
                </c:pt>
                <c:pt idx="4">
                  <c:v>Young Professionals</c:v>
                </c:pt>
              </c:strCache>
            </c:strRef>
          </c:cat>
          <c:val>
            <c:numRef>
              <c:f>Pivots!$J$2:$J$7</c:f>
              <c:numCache>
                <c:formatCode>General</c:formatCode>
                <c:ptCount val="5"/>
                <c:pt idx="0">
                  <c:v>57880404</c:v>
                </c:pt>
                <c:pt idx="1">
                  <c:v>42105510</c:v>
                </c:pt>
                <c:pt idx="2">
                  <c:v>152038223</c:v>
                </c:pt>
                <c:pt idx="3">
                  <c:v>122708748</c:v>
                </c:pt>
                <c:pt idx="4">
                  <c:v>67393229</c:v>
                </c:pt>
              </c:numCache>
            </c:numRef>
          </c:val>
          <c:extLst>
            <c:ext xmlns:c16="http://schemas.microsoft.com/office/drawing/2014/chart" uri="{C3380CC4-5D6E-409C-BE32-E72D297353CC}">
              <c16:uniqueId val="{00000000-C9FC-487F-B4F7-ED1EAAD5D386}"/>
            </c:ext>
          </c:extLst>
        </c:ser>
        <c:dLbls>
          <c:showLegendKey val="0"/>
          <c:showVal val="0"/>
          <c:showCatName val="0"/>
          <c:showSerName val="0"/>
          <c:showPercent val="0"/>
          <c:showBubbleSize val="0"/>
        </c:dLbls>
        <c:gapWidth val="219"/>
        <c:axId val="1676687887"/>
        <c:axId val="1676692687"/>
      </c:barChart>
      <c:catAx>
        <c:axId val="167668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92687"/>
        <c:crosses val="autoZero"/>
        <c:auto val="1"/>
        <c:lblAlgn val="ctr"/>
        <c:lblOffset val="100"/>
        <c:noMultiLvlLbl val="0"/>
      </c:catAx>
      <c:valAx>
        <c:axId val="167669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8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[GTM_Strategy_Dashboard.xlsx]Pivots!pt1</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Avg CAC by Marketing Channel</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rgbClr val="B443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Pivots!$J$26</c:f>
              <c:strCache>
                <c:ptCount val="1"/>
                <c:pt idx="0">
                  <c:v>Total</c:v>
                </c:pt>
              </c:strCache>
            </c:strRef>
          </c:tx>
          <c:spPr>
            <a:solidFill>
              <a:srgbClr val="B4436C"/>
            </a:solidFill>
            <a:ln>
              <a:noFill/>
            </a:ln>
            <a:effectLst/>
          </c:spPr>
          <c:invertIfNegative val="0"/>
          <c:cat>
            <c:strRef>
              <c:f>Pivots!$I$27:$I$34</c:f>
              <c:strCache>
                <c:ptCount val="7"/>
                <c:pt idx="0">
                  <c:v>Channel Partners</c:v>
                </c:pt>
                <c:pt idx="1">
                  <c:v>Content Marketing</c:v>
                </c:pt>
                <c:pt idx="2">
                  <c:v>Email Marketing</c:v>
                </c:pt>
                <c:pt idx="3">
                  <c:v>Events &amp; PR</c:v>
                </c:pt>
                <c:pt idx="4">
                  <c:v>Influencer Marketing</c:v>
                </c:pt>
                <c:pt idx="5">
                  <c:v>Paid Search</c:v>
                </c:pt>
                <c:pt idx="6">
                  <c:v>Social Media Ads</c:v>
                </c:pt>
              </c:strCache>
            </c:strRef>
          </c:cat>
          <c:val>
            <c:numRef>
              <c:f>Pivots!$J$27:$J$34</c:f>
              <c:numCache>
                <c:formatCode>General</c:formatCode>
                <c:ptCount val="7"/>
                <c:pt idx="0">
                  <c:v>1492.2857142857142</c:v>
                </c:pt>
                <c:pt idx="1">
                  <c:v>6121.5384615384619</c:v>
                </c:pt>
                <c:pt idx="2">
                  <c:v>1220.6470588235295</c:v>
                </c:pt>
                <c:pt idx="3">
                  <c:v>551</c:v>
                </c:pt>
                <c:pt idx="4">
                  <c:v>1334.7619047619048</c:v>
                </c:pt>
                <c:pt idx="5">
                  <c:v>3020.8333333333335</c:v>
                </c:pt>
                <c:pt idx="6">
                  <c:v>1329.6666666666667</c:v>
                </c:pt>
              </c:numCache>
            </c:numRef>
          </c:val>
          <c:extLst>
            <c:ext xmlns:c16="http://schemas.microsoft.com/office/drawing/2014/chart" uri="{C3380CC4-5D6E-409C-BE32-E72D297353CC}">
              <c16:uniqueId val="{00000000-E3DE-4A0C-993C-C59604AB1789}"/>
            </c:ext>
          </c:extLst>
        </c:ser>
        <c:dLbls>
          <c:showLegendKey val="0"/>
          <c:showVal val="0"/>
          <c:showCatName val="0"/>
          <c:showSerName val="0"/>
          <c:showPercent val="0"/>
          <c:showBubbleSize val="0"/>
        </c:dLbls>
        <c:gapWidth val="182"/>
        <c:axId val="1676684527"/>
        <c:axId val="1676679247"/>
      </c:barChart>
      <c:catAx>
        <c:axId val="167668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79247"/>
        <c:crosses val="autoZero"/>
        <c:auto val="1"/>
        <c:lblAlgn val="ctr"/>
        <c:lblOffset val="100"/>
        <c:noMultiLvlLbl val="0"/>
      </c:catAx>
      <c:valAx>
        <c:axId val="1676679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8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[GTM_Strategy_Dashboard.xlsx]Pivots!pt2</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Revenue Forecast by Channel</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F3A5F"/>
          </a:solidFill>
          <a:ln w="19050">
            <a:solidFill>
              <a:schemeClr val="lt1"/>
            </a:solidFill>
          </a:ln>
          <a:effectLst/>
        </c:spPr>
      </c:pivotFmt>
      <c:pivotFmt>
        <c:idx val="2"/>
        <c:spPr>
          <a:solidFill>
            <a:srgbClr val="2E86AB"/>
          </a:solidFill>
          <a:ln w="19050">
            <a:solidFill>
              <a:schemeClr val="lt1"/>
            </a:solidFill>
          </a:ln>
          <a:effectLst/>
        </c:spPr>
      </c:pivotFmt>
      <c:pivotFmt>
        <c:idx val="3"/>
        <c:spPr>
          <a:solidFill>
            <a:srgbClr val="5FB49C"/>
          </a:solidFill>
          <a:ln w="19050">
            <a:solidFill>
              <a:schemeClr val="lt1"/>
            </a:solidFill>
          </a:ln>
          <a:effectLst/>
        </c:spPr>
      </c:pivotFmt>
      <c:pivotFmt>
        <c:idx val="4"/>
        <c:spPr>
          <a:solidFill>
            <a:srgbClr val="F2C14E"/>
          </a:solidFill>
          <a:ln w="19050">
            <a:solidFill>
              <a:schemeClr val="lt1"/>
            </a:solidFill>
          </a:ln>
          <a:effectLst/>
        </c:spPr>
      </c:pivotFmt>
      <c:pivotFmt>
        <c:idx val="5"/>
        <c:spPr>
          <a:solidFill>
            <a:srgbClr val="F78154"/>
          </a:solidFill>
          <a:ln w="19050">
            <a:solidFill>
              <a:schemeClr val="lt1"/>
            </a:solidFill>
          </a:ln>
          <a:effectLst/>
        </c:spPr>
      </c:pivotFmt>
      <c:pivotFmt>
        <c:idx val="6"/>
        <c:spPr>
          <a:solidFill>
            <a:srgbClr val="B4436C"/>
          </a:solidFill>
          <a:ln w="19050">
            <a:solidFill>
              <a:schemeClr val="lt1"/>
            </a:solidFill>
          </a:ln>
          <a:effectLst/>
        </c:spPr>
      </c:pivotFmt>
      <c:pivotFmt>
        <c:idx val="7"/>
        <c:spPr>
          <a:solidFill>
            <a:srgbClr val="6A4C93"/>
          </a:solidFill>
          <a:ln w="19050">
            <a:solidFill>
              <a:schemeClr val="lt1"/>
            </a:solidFill>
          </a:ln>
          <a:effectLst/>
        </c:spPr>
      </c:pivotFmt>
    </c:pivotFmts>
    <c:plotArea>
      <c:layout/>
      <c:doughnutChart>
        <c:varyColors val="1"/>
        <c:ser>
          <c:idx val="0"/>
          <c:order val="0"/>
          <c:tx>
            <c:strRef>
              <c:f>Pivots!$J$51</c:f>
              <c:strCache>
                <c:ptCount val="1"/>
                <c:pt idx="0">
                  <c:v>Total</c:v>
                </c:pt>
              </c:strCache>
            </c:strRef>
          </c:tx>
          <c:dPt>
            <c:idx val="0"/>
            <c:bubble3D val="0"/>
            <c:spPr>
              <a:solidFill>
                <a:srgbClr val="1F3A5F"/>
              </a:solidFill>
              <a:ln w="19050">
                <a:solidFill>
                  <a:schemeClr val="lt1"/>
                </a:solidFill>
              </a:ln>
              <a:effectLst/>
            </c:spPr>
            <c:extLst>
              <c:ext xmlns:c16="http://schemas.microsoft.com/office/drawing/2014/chart" uri="{C3380CC4-5D6E-409C-BE32-E72D297353CC}">
                <c16:uniqueId val="{00000001-6288-4875-A5D2-D301A9DF62EB}"/>
              </c:ext>
            </c:extLst>
          </c:dPt>
          <c:dPt>
            <c:idx val="1"/>
            <c:bubble3D val="0"/>
            <c:spPr>
              <a:solidFill>
                <a:srgbClr val="2E86AB"/>
              </a:solidFill>
              <a:ln w="19050">
                <a:solidFill>
                  <a:schemeClr val="lt1"/>
                </a:solidFill>
              </a:ln>
              <a:effectLst/>
            </c:spPr>
            <c:extLst>
              <c:ext xmlns:c16="http://schemas.microsoft.com/office/drawing/2014/chart" uri="{C3380CC4-5D6E-409C-BE32-E72D297353CC}">
                <c16:uniqueId val="{00000002-6288-4875-A5D2-D301A9DF62EB}"/>
              </c:ext>
            </c:extLst>
          </c:dPt>
          <c:dPt>
            <c:idx val="2"/>
            <c:bubble3D val="0"/>
            <c:spPr>
              <a:solidFill>
                <a:srgbClr val="5FB49C"/>
              </a:solidFill>
              <a:ln w="19050">
                <a:solidFill>
                  <a:schemeClr val="lt1"/>
                </a:solidFill>
              </a:ln>
              <a:effectLst/>
            </c:spPr>
            <c:extLst>
              <c:ext xmlns:c16="http://schemas.microsoft.com/office/drawing/2014/chart" uri="{C3380CC4-5D6E-409C-BE32-E72D297353CC}">
                <c16:uniqueId val="{00000003-6288-4875-A5D2-D301A9DF62EB}"/>
              </c:ext>
            </c:extLst>
          </c:dPt>
          <c:dPt>
            <c:idx val="3"/>
            <c:bubble3D val="0"/>
            <c:spPr>
              <a:solidFill>
                <a:srgbClr val="F2C14E"/>
              </a:solidFill>
              <a:ln w="19050">
                <a:solidFill>
                  <a:schemeClr val="lt1"/>
                </a:solidFill>
              </a:ln>
              <a:effectLst/>
            </c:spPr>
            <c:extLst>
              <c:ext xmlns:c16="http://schemas.microsoft.com/office/drawing/2014/chart" uri="{C3380CC4-5D6E-409C-BE32-E72D297353CC}">
                <c16:uniqueId val="{00000004-6288-4875-A5D2-D301A9DF62EB}"/>
              </c:ext>
            </c:extLst>
          </c:dPt>
          <c:dPt>
            <c:idx val="4"/>
            <c:bubble3D val="0"/>
            <c:spPr>
              <a:solidFill>
                <a:srgbClr val="F78154"/>
              </a:solidFill>
              <a:ln w="19050">
                <a:solidFill>
                  <a:schemeClr val="lt1"/>
                </a:solidFill>
              </a:ln>
              <a:effectLst/>
            </c:spPr>
            <c:extLst>
              <c:ext xmlns:c16="http://schemas.microsoft.com/office/drawing/2014/chart" uri="{C3380CC4-5D6E-409C-BE32-E72D297353CC}">
                <c16:uniqueId val="{00000005-6288-4875-A5D2-D301A9DF62EB}"/>
              </c:ext>
            </c:extLst>
          </c:dPt>
          <c:dPt>
            <c:idx val="5"/>
            <c:bubble3D val="0"/>
            <c:spPr>
              <a:solidFill>
                <a:srgbClr val="B4436C"/>
              </a:solidFill>
              <a:ln w="19050">
                <a:solidFill>
                  <a:schemeClr val="lt1"/>
                </a:solidFill>
              </a:ln>
              <a:effectLst/>
            </c:spPr>
            <c:extLst>
              <c:ext xmlns:c16="http://schemas.microsoft.com/office/drawing/2014/chart" uri="{C3380CC4-5D6E-409C-BE32-E72D297353CC}">
                <c16:uniqueId val="{00000006-6288-4875-A5D2-D301A9DF62EB}"/>
              </c:ext>
            </c:extLst>
          </c:dPt>
          <c:dPt>
            <c:idx val="6"/>
            <c:bubble3D val="0"/>
            <c:spPr>
              <a:solidFill>
                <a:srgbClr val="6A4C93"/>
              </a:solidFill>
              <a:ln w="19050">
                <a:solidFill>
                  <a:schemeClr val="lt1"/>
                </a:solidFill>
              </a:ln>
              <a:effectLst/>
            </c:spPr>
            <c:extLst>
              <c:ext xmlns:c16="http://schemas.microsoft.com/office/drawing/2014/chart" uri="{C3380CC4-5D6E-409C-BE32-E72D297353CC}">
                <c16:uniqueId val="{00000007-6288-4875-A5D2-D301A9DF62EB}"/>
              </c:ext>
            </c:extLst>
          </c:dPt>
          <c:cat>
            <c:strRef>
              <c:f>Pivots!$I$52:$I$59</c:f>
              <c:strCache>
                <c:ptCount val="7"/>
                <c:pt idx="0">
                  <c:v>Channel Partners</c:v>
                </c:pt>
                <c:pt idx="1">
                  <c:v>Content Marketing</c:v>
                </c:pt>
                <c:pt idx="2">
                  <c:v>Email Marketing</c:v>
                </c:pt>
                <c:pt idx="3">
                  <c:v>Events &amp; PR</c:v>
                </c:pt>
                <c:pt idx="4">
                  <c:v>Influencer Marketing</c:v>
                </c:pt>
                <c:pt idx="5">
                  <c:v>Paid Search</c:v>
                </c:pt>
                <c:pt idx="6">
                  <c:v>Social Media Ads</c:v>
                </c:pt>
              </c:strCache>
            </c:strRef>
          </c:cat>
          <c:val>
            <c:numRef>
              <c:f>Pivots!$J$52:$J$59</c:f>
              <c:numCache>
                <c:formatCode>General</c:formatCode>
                <c:ptCount val="7"/>
                <c:pt idx="0">
                  <c:v>28036572</c:v>
                </c:pt>
                <c:pt idx="1">
                  <c:v>50217343</c:v>
                </c:pt>
                <c:pt idx="2">
                  <c:v>69649736</c:v>
                </c:pt>
                <c:pt idx="3">
                  <c:v>106358727</c:v>
                </c:pt>
                <c:pt idx="4">
                  <c:v>70829762</c:v>
                </c:pt>
                <c:pt idx="5">
                  <c:v>56628117</c:v>
                </c:pt>
                <c:pt idx="6">
                  <c:v>60405857</c:v>
                </c:pt>
              </c:numCache>
            </c:numRef>
          </c:val>
          <c:extLst>
            <c:ext xmlns:c16="http://schemas.microsoft.com/office/drawing/2014/chart" uri="{C3380CC4-5D6E-409C-BE32-E72D297353CC}">
              <c16:uniqueId val="{00000000-6288-4875-A5D2-D301A9DF62E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[GTM_Strategy_Dashboard.xlsx]Pivots!pt3</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Avg Market Demand by Category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rgbClr val="5FB4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Pivots!$J$76</c:f>
              <c:strCache>
                <c:ptCount val="1"/>
                <c:pt idx="0">
                  <c:v>Total</c:v>
                </c:pt>
              </c:strCache>
            </c:strRef>
          </c:tx>
          <c:spPr>
            <a:solidFill>
              <a:srgbClr val="5FB49C"/>
            </a:solidFill>
            <a:ln>
              <a:noFill/>
            </a:ln>
            <a:effectLst/>
          </c:spPr>
          <c:invertIfNegative val="0"/>
          <c:cat>
            <c:strRef>
              <c:f>Pivots!$I$77:$I$81</c:f>
              <c:strCache>
                <c:ptCount val="4"/>
                <c:pt idx="0">
                  <c:v>Consumer Electronics</c:v>
                </c:pt>
                <c:pt idx="1">
                  <c:v>D2C Product</c:v>
                </c:pt>
                <c:pt idx="2">
                  <c:v>Mobile App</c:v>
                </c:pt>
                <c:pt idx="3">
                  <c:v>SaaS Platform</c:v>
                </c:pt>
              </c:strCache>
            </c:strRef>
          </c:cat>
          <c:val>
            <c:numRef>
              <c:f>Pivots!$J$77:$J$81</c:f>
              <c:numCache>
                <c:formatCode>General</c:formatCode>
                <c:ptCount val="4"/>
                <c:pt idx="0">
                  <c:v>75.125</c:v>
                </c:pt>
                <c:pt idx="1">
                  <c:v>69.517241379310349</c:v>
                </c:pt>
                <c:pt idx="2">
                  <c:v>70.516129032258064</c:v>
                </c:pt>
                <c:pt idx="3">
                  <c:v>71.958333333333329</c:v>
                </c:pt>
              </c:numCache>
            </c:numRef>
          </c:val>
          <c:extLst>
            <c:ext xmlns:c16="http://schemas.microsoft.com/office/drawing/2014/chart" uri="{C3380CC4-5D6E-409C-BE32-E72D297353CC}">
              <c16:uniqueId val="{00000000-6A4A-40FA-A344-A30D7363C72E}"/>
            </c:ext>
          </c:extLst>
        </c:ser>
        <c:dLbls>
          <c:showLegendKey val="0"/>
          <c:showVal val="0"/>
          <c:showCatName val="0"/>
          <c:showSerName val="0"/>
          <c:showPercent val="0"/>
          <c:showBubbleSize val="0"/>
        </c:dLbls>
        <c:gapWidth val="219"/>
        <c:axId val="1676703247"/>
        <c:axId val="1676702287"/>
      </c:barChart>
      <c:catAx>
        <c:axId val="167670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702287"/>
        <c:crosses val="autoZero"/>
        <c:auto val="1"/>
        <c:lblAlgn val="ctr"/>
        <c:lblOffset val="100"/>
        <c:noMultiLvlLbl val="0"/>
      </c:catAx>
      <c:valAx>
        <c:axId val="167670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70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520701</xdr:colOff>
      <xdr:row>5</xdr:row>
      <xdr:rowOff>6350</xdr:rowOff>
    </xdr:from>
    <xdr:to>
      <xdr:col>10</xdr:col>
      <xdr:colOff>278039</xdr:colOff>
      <xdr:row>20</xdr:row>
      <xdr:rowOff>91168</xdr:rowOff>
    </xdr:to>
    <xdr:graphicFrame macro="">
      <xdr:nvGraphicFramePr>
        <xdr:cNvPr id="2" name="Chart 1">
          <a:extLst>
            <a:ext uri="{FF2B5EF4-FFF2-40B4-BE49-F238E27FC236}">
              <a16:creationId xmlns:a16="http://schemas.microsoft.com/office/drawing/2014/main" id="{73D3592B-F005-ED30-6655-BF8F4F7BE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270783</xdr:colOff>
      <xdr:row>5</xdr:row>
      <xdr:rowOff>6349</xdr:rowOff>
    </xdr:from>
    <xdr:to>
      <xdr:col>18</xdr:col>
      <xdr:colOff>28121</xdr:colOff>
      <xdr:row>20</xdr:row>
      <xdr:rowOff>91167</xdr:rowOff>
    </xdr:to>
    <xdr:graphicFrame macro="">
      <xdr:nvGraphicFramePr>
        <xdr:cNvPr id="3" name="Chart 2">
          <a:extLst>
            <a:ext uri="{FF2B5EF4-FFF2-40B4-BE49-F238E27FC236}">
              <a16:creationId xmlns:a16="http://schemas.microsoft.com/office/drawing/2014/main" id="{5FC6F567-7BEF-64A1-EDF2-46F8A9A81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507094</xdr:colOff>
      <xdr:row>22</xdr:row>
      <xdr:rowOff>162833</xdr:rowOff>
    </xdr:from>
    <xdr:to>
      <xdr:col>10</xdr:col>
      <xdr:colOff>264432</xdr:colOff>
      <xdr:row>37</xdr:row>
      <xdr:rowOff>166007</xdr:rowOff>
    </xdr:to>
    <xdr:graphicFrame macro="">
      <xdr:nvGraphicFramePr>
        <xdr:cNvPr id="4" name="Chart 3">
          <a:extLst>
            <a:ext uri="{FF2B5EF4-FFF2-40B4-BE49-F238E27FC236}">
              <a16:creationId xmlns:a16="http://schemas.microsoft.com/office/drawing/2014/main" id="{9B990CB8-8CAA-C6AE-6CC6-050659B41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257177</xdr:colOff>
      <xdr:row>22</xdr:row>
      <xdr:rowOff>156029</xdr:rowOff>
    </xdr:from>
    <xdr:to>
      <xdr:col>18</xdr:col>
      <xdr:colOff>14515</xdr:colOff>
      <xdr:row>37</xdr:row>
      <xdr:rowOff>159203</xdr:rowOff>
    </xdr:to>
    <xdr:graphicFrame macro="">
      <xdr:nvGraphicFramePr>
        <xdr:cNvPr id="5" name="Chart 4">
          <a:extLst>
            <a:ext uri="{FF2B5EF4-FFF2-40B4-BE49-F238E27FC236}">
              <a16:creationId xmlns:a16="http://schemas.microsoft.com/office/drawing/2014/main" id="{2C3871C7-EFEB-B510-D260-897DF77F4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73479</xdr:colOff>
      <xdr:row>28</xdr:row>
      <xdr:rowOff>60552</xdr:rowOff>
    </xdr:from>
    <xdr:to>
      <xdr:col>2</xdr:col>
      <xdr:colOff>530680</xdr:colOff>
      <xdr:row>38</xdr:row>
      <xdr:rowOff>20410</xdr:rowOff>
    </xdr:to>
    <mc:AlternateContent xmlns:mc="http://schemas.openxmlformats.org/markup-compatibility/2006">
      <mc:Choice xmlns:a14="http://schemas.microsoft.com/office/drawing/2010/main" Requires="a14">
        <xdr:graphicFrame macro="">
          <xdr:nvGraphicFramePr>
            <xdr:cNvPr id="6" name="Customer Segment">
              <a:extLst>
                <a:ext uri="{FF2B5EF4-FFF2-40B4-BE49-F238E27FC236}">
                  <a16:creationId xmlns:a16="http://schemas.microsoft.com/office/drawing/2014/main" id="{4536A850-AA4C-83C9-7364-37FC5E974E6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73479" y="5421766"/>
              <a:ext cx="1831522" cy="1796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59872</xdr:colOff>
      <xdr:row>15</xdr:row>
      <xdr:rowOff>53747</xdr:rowOff>
    </xdr:from>
    <xdr:to>
      <xdr:col>2</xdr:col>
      <xdr:colOff>517073</xdr:colOff>
      <xdr:row>28</xdr:row>
      <xdr:rowOff>13607</xdr:rowOff>
    </xdr:to>
    <mc:AlternateContent xmlns:mc="http://schemas.openxmlformats.org/markup-compatibility/2006">
      <mc:Choice xmlns:a14="http://schemas.microsoft.com/office/drawing/2010/main" Requires="a14">
        <xdr:graphicFrame macro="">
          <xdr:nvGraphicFramePr>
            <xdr:cNvPr id="7" name="Marketing Channel">
              <a:extLst>
                <a:ext uri="{FF2B5EF4-FFF2-40B4-BE49-F238E27FC236}">
                  <a16:creationId xmlns:a16="http://schemas.microsoft.com/office/drawing/2014/main" id="{932C41EB-86DC-D31D-C5EA-32E2E843BF88}"/>
                </a:ext>
              </a:extLst>
            </xdr:cNvPr>
            <xdr:cNvGraphicFramePr/>
          </xdr:nvGraphicFramePr>
          <xdr:xfrm>
            <a:off x="0" y="0"/>
            <a:ext cx="0" cy="0"/>
          </xdr:xfrm>
          <a:graphic>
            <a:graphicData uri="http://schemas.microsoft.com/office/drawing/2010/slicer">
              <sle:slicer xmlns:sle="http://schemas.microsoft.com/office/drawing/2010/slicer" name="Marketing Channel"/>
            </a:graphicData>
          </a:graphic>
        </xdr:graphicFrame>
      </mc:Choice>
      <mc:Fallback>
        <xdr:sp macro="" textlink="">
          <xdr:nvSpPr>
            <xdr:cNvPr id="0" name=""/>
            <xdr:cNvSpPr>
              <a:spLocks noTextEdit="1"/>
            </xdr:cNvSpPr>
          </xdr:nvSpPr>
          <xdr:spPr>
            <a:xfrm>
              <a:off x="59872" y="3026908"/>
              <a:ext cx="1831522" cy="2347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59872</xdr:colOff>
      <xdr:row>5</xdr:row>
      <xdr:rowOff>19728</xdr:rowOff>
    </xdr:from>
    <xdr:to>
      <xdr:col>2</xdr:col>
      <xdr:colOff>517073</xdr:colOff>
      <xdr:row>15</xdr:row>
      <xdr:rowOff>6803</xdr:rowOff>
    </xdr:to>
    <mc:AlternateContent xmlns:mc="http://schemas.openxmlformats.org/markup-compatibility/2006">
      <mc:Choice xmlns:a14="http://schemas.microsoft.com/office/drawing/2010/main" Requires="a14">
        <xdr:graphicFrame macro="">
          <xdr:nvGraphicFramePr>
            <xdr:cNvPr id="8" name="Launch Phase">
              <a:extLst>
                <a:ext uri="{FF2B5EF4-FFF2-40B4-BE49-F238E27FC236}">
                  <a16:creationId xmlns:a16="http://schemas.microsoft.com/office/drawing/2014/main" id="{B9E9E8FA-F654-F64B-8DF8-88991C3AA060}"/>
                </a:ext>
              </a:extLst>
            </xdr:cNvPr>
            <xdr:cNvGraphicFramePr/>
          </xdr:nvGraphicFramePr>
          <xdr:xfrm>
            <a:off x="0" y="0"/>
            <a:ext cx="0" cy="0"/>
          </xdr:xfrm>
          <a:graphic>
            <a:graphicData uri="http://schemas.microsoft.com/office/drawing/2010/slicer">
              <sle:slicer xmlns:sle="http://schemas.microsoft.com/office/drawing/2010/slicer" name="Launch Phase"/>
            </a:graphicData>
          </a:graphic>
        </xdr:graphicFrame>
      </mc:Choice>
      <mc:Fallback>
        <xdr:sp macro="" textlink="">
          <xdr:nvSpPr>
            <xdr:cNvPr id="0" name=""/>
            <xdr:cNvSpPr>
              <a:spLocks noTextEdit="1"/>
            </xdr:cNvSpPr>
          </xdr:nvSpPr>
          <xdr:spPr>
            <a:xfrm>
              <a:off x="59872" y="1237568"/>
              <a:ext cx="1831522" cy="1742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38</xdr:row>
      <xdr:rowOff>96837</xdr:rowOff>
    </xdr:from>
    <xdr:to>
      <xdr:col>17</xdr:col>
      <xdr:colOff>635000</xdr:colOff>
      <xdr:row>46</xdr:row>
      <xdr:rowOff>46037</xdr:rowOff>
    </xdr:to>
    <xdr:sp macro="" textlink="">
      <xdr:nvSpPr>
        <xdr:cNvPr id="9" name="TextBox 8">
          <a:extLst>
            <a:ext uri="{FF2B5EF4-FFF2-40B4-BE49-F238E27FC236}">
              <a16:creationId xmlns:a16="http://schemas.microsoft.com/office/drawing/2014/main" id="{791ACBE1-C721-F282-11A1-DD2C8FE1D441}"/>
            </a:ext>
          </a:extLst>
        </xdr:cNvPr>
        <xdr:cNvSpPr txBox="1"/>
      </xdr:nvSpPr>
      <xdr:spPr>
        <a:xfrm>
          <a:off x="76200" y="7112000"/>
          <a:ext cx="12141200" cy="1397000"/>
        </a:xfrm>
        <a:prstGeom prst="rect">
          <a:avLst/>
        </a:prstGeom>
        <a:solidFill>
          <a:srgbClr val="FFFFFF"/>
        </a:solidFill>
        <a:ln w="9525" cmpd="sng">
          <a:solidFill>
            <a:srgbClr val="E3E7EC"/>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IN" sz="1000">
              <a:solidFill>
                <a:srgbClr val="37414F"/>
              </a:solidFill>
            </a:rPr>
            <a:t>Recommendations:  • Launch into the highest-revenue segment first.   • Concentrate budget on the lowest-CAC channels.   • Price competitively against rivals; phase the rollout.   • Close readiness gaps before committing spend.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shey Jain" refreshedDate="46192.590942939816" createdVersion="8" refreshedVersion="8" minRefreshableVersion="3" recordCount="108" xr:uid="{EE6897BC-84CB-45DC-ACED-3909BE2603F8}">
  <cacheSource type="worksheet">
    <worksheetSource name="tblGTM"/>
  </cacheSource>
  <cacheFields count="21">
    <cacheField name="Product ID" numFmtId="0">
      <sharedItems/>
    </cacheField>
    <cacheField name="Product Name" numFmtId="0">
      <sharedItems/>
    </cacheField>
    <cacheField name="Product Category" numFmtId="0">
      <sharedItems count="4">
        <s v="SaaS Platform"/>
        <s v="Consumer Electronics"/>
        <s v="Mobile App"/>
        <s v="D2C Product"/>
      </sharedItems>
    </cacheField>
    <cacheField name="Target Market" numFmtId="0">
      <sharedItems/>
    </cacheField>
    <cacheField name="Customer Segment" numFmtId="0">
      <sharedItems count="5">
        <s v="Enterprise"/>
        <s v="SMB"/>
        <s v="Premium Consumers"/>
        <s v="Students"/>
        <s v="Young Professionals"/>
      </sharedItems>
    </cacheField>
    <cacheField name="Region" numFmtId="0">
      <sharedItems/>
    </cacheField>
    <cacheField name="Competitor Name" numFmtId="0">
      <sharedItems/>
    </cacheField>
    <cacheField name="Competitor Price" numFmtId="0">
      <sharedItems containsSemiMixedTypes="0" containsString="0" containsNumber="1" containsInteger="1" minValue="664" maxValue="36159"/>
    </cacheField>
    <cacheField name="Product Price" numFmtId="0">
      <sharedItems containsSemiMixedTypes="0" containsString="0" containsNumber="1" containsInteger="1" minValue="799" maxValue="29999"/>
    </cacheField>
    <cacheField name="Marketing Channel" numFmtId="0">
      <sharedItems count="7">
        <s v="Email Marketing"/>
        <s v="Events &amp; PR"/>
        <s v="Channel Partners"/>
        <s v="Influencer Marketing"/>
        <s v="Content Marketing"/>
        <s v="Paid Search"/>
        <s v="Social Media Ads"/>
      </sharedItems>
    </cacheField>
    <cacheField name="Campaign Budget" numFmtId="0">
      <sharedItems containsSemiMixedTypes="0" containsString="0" containsNumber="1" containsInteger="1" minValue="50000" maxValue="750000"/>
    </cacheField>
    <cacheField name="Expected Leads" numFmtId="0">
      <sharedItems containsSemiMixedTypes="0" containsString="0" containsNumber="1" containsInteger="1" minValue="429" maxValue="8846"/>
    </cacheField>
    <cacheField name="Expected Conversions" numFmtId="0">
      <sharedItems containsSemiMixedTypes="0" containsString="0" containsNumber="1" containsInteger="1" minValue="21" maxValue="1160"/>
    </cacheField>
    <cacheField name="Conversion Rate %" numFmtId="0">
      <sharedItems containsSemiMixedTypes="0" containsString="0" containsNumber="1" minValue="2.0899999999999998E-2" maxValue="0.13919999999999999"/>
    </cacheField>
    <cacheField name="Customer Acquisition Cost" numFmtId="0">
      <sharedItems containsSemiMixedTypes="0" containsString="0" containsNumber="1" containsInteger="1" minValue="43" maxValue="35714"/>
    </cacheField>
    <cacheField name="Revenue Forecast" numFmtId="0">
      <sharedItems containsSemiMixedTypes="0" containsString="0" containsNumber="1" containsInteger="1" minValue="32773" maxValue="33473854"/>
    </cacheField>
    <cacheField name="Market Demand Score" numFmtId="0">
      <sharedItems containsSemiMixedTypes="0" containsString="0" containsNumber="1" containsInteger="1" minValue="45" maxValue="95"/>
    </cacheField>
    <cacheField name="Product Readiness Score" numFmtId="0">
      <sharedItems containsSemiMixedTypes="0" containsString="0" containsNumber="1" containsInteger="1" minValue="41" maxValue="98"/>
    </cacheField>
    <cacheField name="Launch Phase" numFmtId="0">
      <sharedItems count="5">
        <s v="Pre-Launch"/>
        <s v="Soft Launch"/>
        <s v="Scale"/>
        <s v="Launch"/>
        <s v="Post-Launch"/>
      </sharedItems>
    </cacheField>
    <cacheField name="GTM Status" numFmtId="0">
      <sharedItems/>
    </cacheField>
    <cacheField name="Group" numFmtId="0">
      <sharedItems count="1">
        <s v="Total"/>
      </sharedItems>
    </cacheField>
  </cacheFields>
  <extLst>
    <ext xmlns:x14="http://schemas.microsoft.com/office/spreadsheetml/2009/9/main" uri="{725AE2AE-9491-48be-B2B4-4EB974FC3084}">
      <x14:pivotCacheDefinition pivotCacheId="1538633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s v="PRD1001"/>
    <s v="FlowDesk"/>
    <x v="0"/>
    <s v="Southeast Asia"/>
    <x v="0"/>
    <s v="Pan-India"/>
    <s v="ValuePick"/>
    <n v="3139"/>
    <n v="2999"/>
    <x v="0"/>
    <n v="100000"/>
    <n v="7112"/>
    <n v="545"/>
    <n v="7.6600000000000001E-2"/>
    <n v="183"/>
    <n v="1947219"/>
    <n v="50"/>
    <n v="71"/>
    <x v="0"/>
    <s v="On-Track"/>
    <x v="0"/>
  </r>
  <r>
    <s v="PRD1002"/>
    <s v="OpsHub"/>
    <x v="0"/>
    <s v="Domestic Tier-1"/>
    <x v="1"/>
    <s v="West"/>
    <s v="ApexBrand"/>
    <n v="918"/>
    <n v="799"/>
    <x v="1"/>
    <n v="350000"/>
    <n v="4990"/>
    <n v="522"/>
    <n v="0.1046"/>
    <n v="670"/>
    <n v="383390"/>
    <n v="56"/>
    <n v="49"/>
    <x v="1"/>
    <s v="Delayed"/>
    <x v="0"/>
  </r>
  <r>
    <s v="PRD1003"/>
    <s v="SonicBuds"/>
    <x v="1"/>
    <s v="Southeast Asia"/>
    <x v="2"/>
    <s v="East"/>
    <s v="ValuePick"/>
    <n v="1823"/>
    <n v="1499"/>
    <x v="1"/>
    <n v="50000"/>
    <n v="4861"/>
    <n v="608"/>
    <n v="0.12509999999999999"/>
    <n v="82"/>
    <n v="1165132"/>
    <n v="86"/>
    <n v="80"/>
    <x v="1"/>
    <s v="On-Track"/>
    <x v="0"/>
  </r>
  <r>
    <s v="PRD1004"/>
    <s v="SonicBuds"/>
    <x v="1"/>
    <s v="Domestic Tier-1"/>
    <x v="1"/>
    <s v="East"/>
    <s v="ValuePick"/>
    <n v="1754"/>
    <n v="1499"/>
    <x v="2"/>
    <n v="750000"/>
    <n v="3253"/>
    <n v="254"/>
    <n v="7.8100000000000003E-2"/>
    <n v="2953"/>
    <n v="377449"/>
    <n v="93"/>
    <n v="42"/>
    <x v="2"/>
    <s v="Delayed"/>
    <x v="0"/>
  </r>
  <r>
    <s v="PRD1005"/>
    <s v="FitPulse"/>
    <x v="2"/>
    <s v="India"/>
    <x v="3"/>
    <s v="North"/>
    <s v="RivalCo"/>
    <n v="2620"/>
    <n v="2999"/>
    <x v="3"/>
    <n v="100000"/>
    <n v="841"/>
    <n v="79"/>
    <n v="9.3899999999999997E-2"/>
    <n v="1266"/>
    <n v="274087"/>
    <n v="45"/>
    <n v="71"/>
    <x v="0"/>
    <s v="On-Track"/>
    <x v="0"/>
  </r>
  <r>
    <s v="PRD1006"/>
    <s v="TeamSync"/>
    <x v="0"/>
    <s v="Southeast Asia"/>
    <x v="2"/>
    <s v="South"/>
    <s v="FirstMover"/>
    <n v="813"/>
    <n v="799"/>
    <x v="4"/>
    <n v="100000"/>
    <n v="3423"/>
    <n v="336"/>
    <n v="9.8199999999999996E-2"/>
    <n v="298"/>
    <n v="250185"/>
    <n v="70"/>
    <n v="49"/>
    <x v="2"/>
    <s v="Delayed"/>
    <x v="0"/>
  </r>
  <r>
    <s v="PRD1007"/>
    <s v="RootBox"/>
    <x v="3"/>
    <s v="Middle East"/>
    <x v="2"/>
    <s v="West"/>
    <s v="ApexBrand"/>
    <n v="808"/>
    <n v="799"/>
    <x v="1"/>
    <n v="350000"/>
    <n v="7286"/>
    <n v="167"/>
    <n v="2.29E-2"/>
    <n v="2096"/>
    <n v="172771"/>
    <n v="90"/>
    <n v="65"/>
    <x v="1"/>
    <s v="At-Risk"/>
    <x v="0"/>
  </r>
  <r>
    <s v="PRD1008"/>
    <s v="RootBox"/>
    <x v="3"/>
    <s v="Southeast Asia"/>
    <x v="4"/>
    <s v="Pan-India"/>
    <s v="ValuePick"/>
    <n v="30430"/>
    <n v="29999"/>
    <x v="1"/>
    <n v="50000"/>
    <n v="4592"/>
    <n v="469"/>
    <n v="0.1021"/>
    <n v="107"/>
    <n v="13757174"/>
    <n v="85"/>
    <n v="87"/>
    <x v="3"/>
    <s v="Ready"/>
    <x v="0"/>
  </r>
  <r>
    <s v="PRD1009"/>
    <s v="NovaWatch"/>
    <x v="1"/>
    <s v="Southeast Asia"/>
    <x v="4"/>
    <s v="West"/>
    <s v="ApexBrand"/>
    <n v="842"/>
    <n v="799"/>
    <x v="2"/>
    <n v="200000"/>
    <n v="4021"/>
    <n v="241"/>
    <n v="5.9900000000000002E-2"/>
    <n v="830"/>
    <n v="237862"/>
    <n v="71"/>
    <n v="72"/>
    <x v="3"/>
    <s v="On-Track"/>
    <x v="0"/>
  </r>
  <r>
    <s v="PRD1010"/>
    <s v="PixelCam"/>
    <x v="1"/>
    <s v="Domestic Tier-2"/>
    <x v="0"/>
    <s v="South"/>
    <s v="RivalCo"/>
    <n v="21547"/>
    <n v="19999"/>
    <x v="5"/>
    <n v="200000"/>
    <n v="4853"/>
    <n v="447"/>
    <n v="9.2100000000000001E-2"/>
    <n v="447"/>
    <n v="9919650"/>
    <n v="86"/>
    <n v="51"/>
    <x v="0"/>
    <s v="Delayed"/>
    <x v="0"/>
  </r>
  <r>
    <s v="PRD1011"/>
    <s v="SonicBuds"/>
    <x v="1"/>
    <s v="Middle East"/>
    <x v="2"/>
    <s v="South"/>
    <s v="FirstMover"/>
    <n v="2605"/>
    <n v="2999"/>
    <x v="1"/>
    <n v="750000"/>
    <n v="8156"/>
    <n v="865"/>
    <n v="0.1061"/>
    <n v="867"/>
    <n v="2693350"/>
    <n v="94"/>
    <n v="82"/>
    <x v="4"/>
    <s v="On-Track"/>
    <x v="0"/>
  </r>
  <r>
    <s v="PRD1012"/>
    <s v="NovaWatch"/>
    <x v="1"/>
    <s v="Southeast Asia"/>
    <x v="2"/>
    <s v="West"/>
    <s v="RivalCo"/>
    <n v="670"/>
    <n v="799"/>
    <x v="6"/>
    <n v="350000"/>
    <n v="5788"/>
    <n v="605"/>
    <n v="0.1045"/>
    <n v="579"/>
    <n v="619151"/>
    <n v="82"/>
    <n v="53"/>
    <x v="0"/>
    <s v="Delayed"/>
    <x v="0"/>
  </r>
  <r>
    <s v="PRD1013"/>
    <s v="BrewCraft"/>
    <x v="3"/>
    <s v="Middle East"/>
    <x v="1"/>
    <s v="West"/>
    <s v="FirstMover"/>
    <n v="5114"/>
    <n v="4999"/>
    <x v="6"/>
    <n v="750000"/>
    <n v="2738"/>
    <n v="280"/>
    <n v="0.1023"/>
    <n v="2679"/>
    <n v="1811045"/>
    <n v="57"/>
    <n v="81"/>
    <x v="0"/>
    <s v="On-Track"/>
    <x v="0"/>
  </r>
  <r>
    <s v="PRD1014"/>
    <s v="GlowSerum"/>
    <x v="3"/>
    <s v="India"/>
    <x v="0"/>
    <s v="West"/>
    <s v="ApexBrand"/>
    <n v="10868"/>
    <n v="9999"/>
    <x v="3"/>
    <n v="50000"/>
    <n v="1633"/>
    <n v="56"/>
    <n v="3.4299999999999997E-2"/>
    <n v="893"/>
    <n v="632032"/>
    <n v="49"/>
    <n v="84"/>
    <x v="3"/>
    <s v="On-Track"/>
    <x v="0"/>
  </r>
  <r>
    <s v="PRD1015"/>
    <s v="OpsHub"/>
    <x v="0"/>
    <s v="Middle East"/>
    <x v="1"/>
    <s v="West"/>
    <s v="FirstMover"/>
    <n v="3232"/>
    <n v="2999"/>
    <x v="4"/>
    <n v="750000"/>
    <n v="763"/>
    <n v="21"/>
    <n v="2.75E-2"/>
    <n v="35714"/>
    <n v="82387"/>
    <n v="62"/>
    <n v="47"/>
    <x v="2"/>
    <s v="Delayed"/>
    <x v="0"/>
  </r>
  <r>
    <s v="PRD1016"/>
    <s v="LingoLeap"/>
    <x v="2"/>
    <s v="Domestic Tier-2"/>
    <x v="1"/>
    <s v="South"/>
    <s v="RivalCo"/>
    <n v="950"/>
    <n v="799"/>
    <x v="3"/>
    <n v="500000"/>
    <n v="5445"/>
    <n v="750"/>
    <n v="0.13769999999999999"/>
    <n v="667"/>
    <n v="717309"/>
    <n v="86"/>
    <n v="51"/>
    <x v="3"/>
    <s v="Delayed"/>
    <x v="0"/>
  </r>
  <r>
    <s v="PRD1017"/>
    <s v="BrewCraft"/>
    <x v="3"/>
    <s v="Southeast Asia"/>
    <x v="3"/>
    <s v="West"/>
    <s v="ApexBrand"/>
    <n v="9632"/>
    <n v="9999"/>
    <x v="2"/>
    <n v="200000"/>
    <n v="5171"/>
    <n v="321"/>
    <n v="6.2100000000000002E-2"/>
    <n v="623"/>
    <n v="3140485"/>
    <n v="56"/>
    <n v="70"/>
    <x v="3"/>
    <s v="On-Track"/>
    <x v="0"/>
  </r>
  <r>
    <s v="PRD1018"/>
    <s v="PixelCam"/>
    <x v="1"/>
    <s v="Domestic Tier-2"/>
    <x v="4"/>
    <s v="North"/>
    <s v="ApexBrand"/>
    <n v="3510"/>
    <n v="2999"/>
    <x v="4"/>
    <n v="350000"/>
    <n v="2502"/>
    <n v="227"/>
    <n v="9.0700000000000003E-2"/>
    <n v="1542"/>
    <n v="948329"/>
    <n v="46"/>
    <n v="91"/>
    <x v="1"/>
    <s v="On-Track"/>
    <x v="0"/>
  </r>
  <r>
    <s v="PRD1019"/>
    <s v="FitPulse"/>
    <x v="2"/>
    <s v="Middle East"/>
    <x v="3"/>
    <s v="North"/>
    <s v="FirstMover"/>
    <n v="1632"/>
    <n v="1499"/>
    <x v="5"/>
    <n v="750000"/>
    <n v="1528"/>
    <n v="63"/>
    <n v="4.1200000000000001E-2"/>
    <n v="11905"/>
    <n v="117295"/>
    <n v="71"/>
    <n v="43"/>
    <x v="3"/>
    <s v="Delayed"/>
    <x v="0"/>
  </r>
  <r>
    <s v="PRD1020"/>
    <s v="BudgetBee"/>
    <x v="2"/>
    <s v="Domestic Tier-1"/>
    <x v="0"/>
    <s v="South"/>
    <s v="ValuePick"/>
    <n v="5121"/>
    <n v="4999"/>
    <x v="5"/>
    <n v="200000"/>
    <n v="3243"/>
    <n v="288"/>
    <n v="8.8800000000000004E-2"/>
    <n v="694"/>
    <n v="1626942"/>
    <n v="59"/>
    <n v="96"/>
    <x v="0"/>
    <s v="On-Track"/>
    <x v="0"/>
  </r>
  <r>
    <s v="PRD1021"/>
    <s v="PixelCam"/>
    <x v="1"/>
    <s v="India"/>
    <x v="3"/>
    <s v="East"/>
    <s v="ApexBrand"/>
    <n v="1394"/>
    <n v="1499"/>
    <x v="2"/>
    <n v="50000"/>
    <n v="429"/>
    <n v="52"/>
    <n v="0.1212"/>
    <n v="962"/>
    <n v="87074"/>
    <n v="47"/>
    <n v="64"/>
    <x v="0"/>
    <s v="At-Risk"/>
    <x v="0"/>
  </r>
  <r>
    <s v="PRD1022"/>
    <s v="OpsHub"/>
    <x v="0"/>
    <s v="India"/>
    <x v="0"/>
    <s v="North"/>
    <s v="FirstMover"/>
    <n v="2777"/>
    <n v="2999"/>
    <x v="5"/>
    <n v="50000"/>
    <n v="3758"/>
    <n v="268"/>
    <n v="7.1300000000000002E-2"/>
    <n v="187"/>
    <n v="904162"/>
    <n v="91"/>
    <n v="62"/>
    <x v="2"/>
    <s v="At-Risk"/>
    <x v="0"/>
  </r>
  <r>
    <s v="PRD1023"/>
    <s v="BudgetBee"/>
    <x v="2"/>
    <s v="Southeast Asia"/>
    <x v="4"/>
    <s v="South"/>
    <s v="ApexBrand"/>
    <n v="21372"/>
    <n v="19999"/>
    <x v="0"/>
    <n v="500000"/>
    <n v="3990"/>
    <n v="432"/>
    <n v="0.10829999999999999"/>
    <n v="1157"/>
    <n v="9267989"/>
    <n v="95"/>
    <n v="90"/>
    <x v="4"/>
    <s v="Ready"/>
    <x v="0"/>
  </r>
  <r>
    <s v="PRD1024"/>
    <s v="LingoLeap"/>
    <x v="2"/>
    <s v="India"/>
    <x v="4"/>
    <s v="East"/>
    <s v="FirstMover"/>
    <n v="9228"/>
    <n v="9999"/>
    <x v="1"/>
    <n v="50000"/>
    <n v="6195"/>
    <n v="470"/>
    <n v="7.5899999999999995E-2"/>
    <n v="106"/>
    <n v="4440276"/>
    <n v="81"/>
    <n v="74"/>
    <x v="2"/>
    <s v="On-Track"/>
    <x v="0"/>
  </r>
  <r>
    <s v="PRD1025"/>
    <s v="NovaWatch"/>
    <x v="1"/>
    <s v="Southeast Asia"/>
    <x v="2"/>
    <s v="East"/>
    <s v="FirstMover"/>
    <n v="10922"/>
    <n v="9999"/>
    <x v="1"/>
    <n v="750000"/>
    <n v="8846"/>
    <n v="697"/>
    <n v="7.8799999999999995E-2"/>
    <n v="1076"/>
    <n v="6934833"/>
    <n v="60"/>
    <n v="70"/>
    <x v="0"/>
    <s v="On-Track"/>
    <x v="0"/>
  </r>
  <r>
    <s v="PRD1026"/>
    <s v="PixelCam"/>
    <x v="1"/>
    <s v="Southeast Asia"/>
    <x v="2"/>
    <s v="North"/>
    <s v="ApexBrand"/>
    <n v="3465"/>
    <n v="2999"/>
    <x v="5"/>
    <n v="200000"/>
    <n v="4774"/>
    <n v="151"/>
    <n v="3.1600000000000003E-2"/>
    <n v="1325"/>
    <n v="468461"/>
    <n v="95"/>
    <n v="66"/>
    <x v="0"/>
    <s v="At-Risk"/>
    <x v="0"/>
  </r>
  <r>
    <s v="PRD1027"/>
    <s v="BudgetBee"/>
    <x v="2"/>
    <s v="Southeast Asia"/>
    <x v="0"/>
    <s v="North"/>
    <s v="RivalCo"/>
    <n v="5271"/>
    <n v="4999"/>
    <x v="3"/>
    <n v="750000"/>
    <n v="2668"/>
    <n v="350"/>
    <n v="0.13120000000000001"/>
    <n v="2143"/>
    <n v="1834315"/>
    <n v="92"/>
    <n v="63"/>
    <x v="4"/>
    <s v="At-Risk"/>
    <x v="0"/>
  </r>
  <r>
    <s v="PRD1028"/>
    <s v="RootBox"/>
    <x v="3"/>
    <s v="India"/>
    <x v="2"/>
    <s v="East"/>
    <s v="ApexBrand"/>
    <n v="26653"/>
    <n v="29999"/>
    <x v="4"/>
    <n v="350000"/>
    <n v="2119"/>
    <n v="65"/>
    <n v="3.0700000000000002E-2"/>
    <n v="5385"/>
    <n v="2659383"/>
    <n v="86"/>
    <n v="67"/>
    <x v="0"/>
    <s v="At-Risk"/>
    <x v="0"/>
  </r>
  <r>
    <s v="PRD1029"/>
    <s v="TeamSync"/>
    <x v="0"/>
    <s v="Domestic Tier-2"/>
    <x v="4"/>
    <s v="Pan-India"/>
    <s v="FirstMover"/>
    <n v="3610"/>
    <n v="2999"/>
    <x v="2"/>
    <n v="750000"/>
    <n v="2669"/>
    <n v="139"/>
    <n v="5.21E-2"/>
    <n v="5396"/>
    <n v="392283"/>
    <n v="60"/>
    <n v="66"/>
    <x v="2"/>
    <s v="At-Risk"/>
    <x v="0"/>
  </r>
  <r>
    <s v="PRD1030"/>
    <s v="FlowDesk"/>
    <x v="0"/>
    <s v="Southeast Asia"/>
    <x v="1"/>
    <s v="East"/>
    <s v="MarketKing"/>
    <n v="10921"/>
    <n v="9999"/>
    <x v="0"/>
    <n v="50000"/>
    <n v="5137"/>
    <n v="680"/>
    <n v="0.13239999999999999"/>
    <n v="74"/>
    <n v="6954599"/>
    <n v="81"/>
    <n v="92"/>
    <x v="1"/>
    <s v="Ready"/>
    <x v="0"/>
  </r>
  <r>
    <s v="PRD1031"/>
    <s v="RootBox"/>
    <x v="3"/>
    <s v="Middle East"/>
    <x v="2"/>
    <s v="South"/>
    <s v="ValuePick"/>
    <n v="856"/>
    <n v="799"/>
    <x v="2"/>
    <n v="200000"/>
    <n v="3263"/>
    <n v="169"/>
    <n v="5.1799999999999999E-2"/>
    <n v="1183"/>
    <n v="176877"/>
    <n v="78"/>
    <n v="81"/>
    <x v="2"/>
    <s v="On-Track"/>
    <x v="0"/>
  </r>
  <r>
    <s v="PRD1032"/>
    <s v="BrewCraft"/>
    <x v="3"/>
    <s v="Domestic Tier-1"/>
    <x v="1"/>
    <s v="North"/>
    <s v="RivalCo"/>
    <n v="10823"/>
    <n v="9999"/>
    <x v="1"/>
    <n v="200000"/>
    <n v="6561"/>
    <n v="814"/>
    <n v="0.1241"/>
    <n v="246"/>
    <n v="7923452"/>
    <n v="87"/>
    <n v="60"/>
    <x v="0"/>
    <s v="At-Risk"/>
    <x v="0"/>
  </r>
  <r>
    <s v="PRD1033"/>
    <s v="LingoLeap"/>
    <x v="2"/>
    <s v="Southeast Asia"/>
    <x v="3"/>
    <s v="South"/>
    <s v="MarketKing"/>
    <n v="26468"/>
    <n v="29999"/>
    <x v="3"/>
    <n v="500000"/>
    <n v="8759"/>
    <n v="803"/>
    <n v="9.1700000000000004E-2"/>
    <n v="623"/>
    <n v="29852021"/>
    <n v="53"/>
    <n v="49"/>
    <x v="1"/>
    <s v="Delayed"/>
    <x v="0"/>
  </r>
  <r>
    <s v="PRD1034"/>
    <s v="GlowSerum"/>
    <x v="3"/>
    <s v="Domestic Tier-2"/>
    <x v="1"/>
    <s v="South"/>
    <s v="MarketKing"/>
    <n v="27142"/>
    <n v="29999"/>
    <x v="6"/>
    <n v="500000"/>
    <n v="7690"/>
    <n v="630"/>
    <n v="8.1900000000000001E-2"/>
    <n v="794"/>
    <n v="26078693"/>
    <n v="71"/>
    <n v="58"/>
    <x v="1"/>
    <s v="At-Risk"/>
    <x v="0"/>
  </r>
  <r>
    <s v="PRD1035"/>
    <s v="PixelCam"/>
    <x v="1"/>
    <s v="Domestic Tier-1"/>
    <x v="2"/>
    <s v="West"/>
    <s v="MarketKing"/>
    <n v="2724"/>
    <n v="2999"/>
    <x v="2"/>
    <n v="750000"/>
    <n v="3053"/>
    <n v="397"/>
    <n v="0.13"/>
    <n v="1889"/>
    <n v="1082801"/>
    <n v="49"/>
    <n v="80"/>
    <x v="3"/>
    <s v="On-Track"/>
    <x v="0"/>
  </r>
  <r>
    <s v="PRD1036"/>
    <s v="FitPulse"/>
    <x v="2"/>
    <s v="Domestic Tier-2"/>
    <x v="1"/>
    <s v="East"/>
    <s v="FirstMover"/>
    <n v="2956"/>
    <n v="2999"/>
    <x v="0"/>
    <n v="750000"/>
    <n v="3792"/>
    <n v="234"/>
    <n v="6.1699999999999998E-2"/>
    <n v="3205"/>
    <n v="670881"/>
    <n v="45"/>
    <n v="86"/>
    <x v="3"/>
    <s v="On-Track"/>
    <x v="0"/>
  </r>
  <r>
    <s v="PRD1037"/>
    <s v="OpsHub"/>
    <x v="0"/>
    <s v="Domestic Tier-2"/>
    <x v="3"/>
    <s v="West"/>
    <s v="ValuePick"/>
    <n v="2574"/>
    <n v="2999"/>
    <x v="2"/>
    <n v="750000"/>
    <n v="3453"/>
    <n v="447"/>
    <n v="0.1295"/>
    <n v="1678"/>
    <n v="1514675"/>
    <n v="50"/>
    <n v="96"/>
    <x v="3"/>
    <s v="On-Track"/>
    <x v="0"/>
  </r>
  <r>
    <s v="PRD1038"/>
    <s v="PixelCam"/>
    <x v="1"/>
    <s v="Southeast Asia"/>
    <x v="4"/>
    <s v="Pan-India"/>
    <s v="ApexBrand"/>
    <n v="18445"/>
    <n v="19999"/>
    <x v="0"/>
    <n v="100000"/>
    <n v="1324"/>
    <n v="163"/>
    <n v="0.1231"/>
    <n v="613"/>
    <n v="4100324"/>
    <n v="49"/>
    <n v="50"/>
    <x v="0"/>
    <s v="Delayed"/>
    <x v="0"/>
  </r>
  <r>
    <s v="PRD1039"/>
    <s v="BudgetBee"/>
    <x v="2"/>
    <s v="Southeast Asia"/>
    <x v="3"/>
    <s v="North"/>
    <s v="MarketKing"/>
    <n v="24025"/>
    <n v="19999"/>
    <x v="5"/>
    <n v="500000"/>
    <n v="3869"/>
    <n v="157"/>
    <n v="4.0599999999999997E-2"/>
    <n v="3185"/>
    <n v="3922919"/>
    <n v="67"/>
    <n v="97"/>
    <x v="2"/>
    <s v="On-Track"/>
    <x v="0"/>
  </r>
  <r>
    <s v="PRD1040"/>
    <s v="FitPulse"/>
    <x v="2"/>
    <s v="India"/>
    <x v="1"/>
    <s v="Pan-India"/>
    <s v="FirstMover"/>
    <n v="6059"/>
    <n v="4999"/>
    <x v="3"/>
    <n v="100000"/>
    <n v="2004"/>
    <n v="186"/>
    <n v="9.2799999999999994E-2"/>
    <n v="538"/>
    <n v="1005364"/>
    <n v="87"/>
    <n v="77"/>
    <x v="1"/>
    <s v="On-Track"/>
    <x v="0"/>
  </r>
  <r>
    <s v="PRD1041"/>
    <s v="RootBox"/>
    <x v="3"/>
    <s v="Domestic Tier-2"/>
    <x v="0"/>
    <s v="West"/>
    <s v="MarketKing"/>
    <n v="697"/>
    <n v="799"/>
    <x v="3"/>
    <n v="50000"/>
    <n v="3155"/>
    <n v="188"/>
    <n v="5.96E-2"/>
    <n v="266"/>
    <n v="137575"/>
    <n v="54"/>
    <n v="88"/>
    <x v="3"/>
    <s v="On-Track"/>
    <x v="0"/>
  </r>
  <r>
    <s v="PRD1042"/>
    <s v="SonicBuds"/>
    <x v="1"/>
    <s v="Domestic Tier-2"/>
    <x v="3"/>
    <s v="Pan-India"/>
    <s v="RivalCo"/>
    <n v="29397"/>
    <n v="29999"/>
    <x v="1"/>
    <n v="500000"/>
    <n v="7245"/>
    <n v="973"/>
    <n v="0.1343"/>
    <n v="514"/>
    <n v="33473854"/>
    <n v="75"/>
    <n v="86"/>
    <x v="3"/>
    <s v="Ready"/>
    <x v="0"/>
  </r>
  <r>
    <s v="PRD1043"/>
    <s v="RootBox"/>
    <x v="3"/>
    <s v="Domestic Tier-1"/>
    <x v="1"/>
    <s v="East"/>
    <s v="ValuePick"/>
    <n v="3070"/>
    <n v="2999"/>
    <x v="4"/>
    <n v="350000"/>
    <n v="3717"/>
    <n v="487"/>
    <n v="0.13100000000000001"/>
    <n v="719"/>
    <n v="1680533"/>
    <n v="57"/>
    <n v="68"/>
    <x v="0"/>
    <s v="At-Risk"/>
    <x v="0"/>
  </r>
  <r>
    <s v="PRD1044"/>
    <s v="LingoLeap"/>
    <x v="2"/>
    <s v="India"/>
    <x v="0"/>
    <s v="Pan-India"/>
    <s v="ApexBrand"/>
    <n v="686"/>
    <n v="799"/>
    <x v="0"/>
    <n v="350000"/>
    <n v="895"/>
    <n v="112"/>
    <n v="0.12509999999999999"/>
    <n v="3125"/>
    <n v="107349"/>
    <n v="79"/>
    <n v="58"/>
    <x v="4"/>
    <s v="At-Risk"/>
    <x v="0"/>
  </r>
  <r>
    <s v="PRD1045"/>
    <s v="BudgetBee"/>
    <x v="2"/>
    <s v="Domestic Tier-1"/>
    <x v="4"/>
    <s v="South"/>
    <s v="RivalCo"/>
    <n v="1424"/>
    <n v="1499"/>
    <x v="0"/>
    <n v="350000"/>
    <n v="5132"/>
    <n v="217"/>
    <n v="4.2299999999999997E-2"/>
    <n v="1613"/>
    <n v="301691"/>
    <n v="69"/>
    <n v="69"/>
    <x v="3"/>
    <s v="At-Risk"/>
    <x v="0"/>
  </r>
  <r>
    <s v="PRD1046"/>
    <s v="BudgetBee"/>
    <x v="2"/>
    <s v="India"/>
    <x v="1"/>
    <s v="West"/>
    <s v="MarketKing"/>
    <n v="11208"/>
    <n v="9999"/>
    <x v="4"/>
    <n v="750000"/>
    <n v="1395"/>
    <n v="191"/>
    <n v="0.13689999999999999"/>
    <n v="3927"/>
    <n v="1921950"/>
    <n v="50"/>
    <n v="78"/>
    <x v="3"/>
    <s v="On-Track"/>
    <x v="0"/>
  </r>
  <r>
    <s v="PRD1047"/>
    <s v="TeamSync"/>
    <x v="0"/>
    <s v="Middle East"/>
    <x v="0"/>
    <s v="East"/>
    <s v="ApexBrand"/>
    <n v="21976"/>
    <n v="19999"/>
    <x v="3"/>
    <n v="100000"/>
    <n v="3404"/>
    <n v="468"/>
    <n v="0.13750000000000001"/>
    <n v="214"/>
    <n v="10872139"/>
    <n v="86"/>
    <n v="66"/>
    <x v="4"/>
    <s v="At-Risk"/>
    <x v="0"/>
  </r>
  <r>
    <s v="PRD1048"/>
    <s v="BudgetBee"/>
    <x v="2"/>
    <s v="Middle East"/>
    <x v="2"/>
    <s v="Pan-India"/>
    <s v="MarketKing"/>
    <n v="5461"/>
    <n v="4999"/>
    <x v="2"/>
    <n v="100000"/>
    <n v="3742"/>
    <n v="196"/>
    <n v="5.2400000000000002E-2"/>
    <n v="510"/>
    <n v="1319443"/>
    <n v="47"/>
    <n v="50"/>
    <x v="4"/>
    <s v="Delayed"/>
    <x v="0"/>
  </r>
  <r>
    <s v="PRD1049"/>
    <s v="FlowDesk"/>
    <x v="0"/>
    <s v="India"/>
    <x v="0"/>
    <s v="East"/>
    <s v="ValuePick"/>
    <n v="25571"/>
    <n v="29999"/>
    <x v="4"/>
    <n v="200000"/>
    <n v="6555"/>
    <n v="165"/>
    <n v="2.52E-2"/>
    <n v="1212"/>
    <n v="5832350"/>
    <n v="52"/>
    <n v="61"/>
    <x v="2"/>
    <s v="At-Risk"/>
    <x v="0"/>
  </r>
  <r>
    <s v="PRD1050"/>
    <s v="FlowDesk"/>
    <x v="0"/>
    <s v="Southeast Asia"/>
    <x v="2"/>
    <s v="North"/>
    <s v="ApexBrand"/>
    <n v="709"/>
    <n v="799"/>
    <x v="3"/>
    <n v="100000"/>
    <n v="2067"/>
    <n v="213"/>
    <n v="0.10299999999999999"/>
    <n v="469"/>
    <n v="224459"/>
    <n v="91"/>
    <n v="97"/>
    <x v="0"/>
    <s v="Ready"/>
    <x v="0"/>
  </r>
  <r>
    <s v="PRD1051"/>
    <s v="FlowDesk"/>
    <x v="0"/>
    <s v="Southeast Asia"/>
    <x v="4"/>
    <s v="West"/>
    <s v="RivalCo"/>
    <n v="789"/>
    <n v="799"/>
    <x v="6"/>
    <n v="350000"/>
    <n v="7404"/>
    <n v="272"/>
    <n v="3.6700000000000003E-2"/>
    <n v="1287"/>
    <n v="295357"/>
    <n v="86"/>
    <n v="79"/>
    <x v="4"/>
    <s v="On-Track"/>
    <x v="0"/>
  </r>
  <r>
    <s v="PRD1052"/>
    <s v="NovaWatch"/>
    <x v="1"/>
    <s v="India"/>
    <x v="2"/>
    <s v="South"/>
    <s v="ApexBrand"/>
    <n v="2858"/>
    <n v="2999"/>
    <x v="2"/>
    <n v="750000"/>
    <n v="4332"/>
    <n v="362"/>
    <n v="8.3599999999999994E-2"/>
    <n v="2072"/>
    <n v="1001007"/>
    <n v="89"/>
    <n v="80"/>
    <x v="1"/>
    <s v="On-Track"/>
    <x v="0"/>
  </r>
  <r>
    <s v="PRD1053"/>
    <s v="TeamSync"/>
    <x v="0"/>
    <s v="Southeast Asia"/>
    <x v="4"/>
    <s v="South"/>
    <s v="MarketKing"/>
    <n v="2816"/>
    <n v="2999"/>
    <x v="3"/>
    <n v="750000"/>
    <n v="7558"/>
    <n v="273"/>
    <n v="3.61E-2"/>
    <n v="2747"/>
    <n v="1010742"/>
    <n v="78"/>
    <n v="80"/>
    <x v="4"/>
    <s v="On-Track"/>
    <x v="0"/>
  </r>
  <r>
    <s v="PRD1054"/>
    <s v="OpsHub"/>
    <x v="0"/>
    <s v="Domestic Tier-1"/>
    <x v="4"/>
    <s v="East"/>
    <s v="RivalCo"/>
    <n v="27164"/>
    <n v="29999"/>
    <x v="5"/>
    <n v="350000"/>
    <n v="2120"/>
    <n v="290"/>
    <n v="0.1368"/>
    <n v="1207"/>
    <n v="10874845"/>
    <n v="80"/>
    <n v="88"/>
    <x v="0"/>
    <s v="Ready"/>
    <x v="0"/>
  </r>
  <r>
    <s v="PRD1055"/>
    <s v="SonicBuds"/>
    <x v="1"/>
    <s v="Domestic Tier-1"/>
    <x v="1"/>
    <s v="Pan-India"/>
    <s v="ApexBrand"/>
    <n v="32524"/>
    <n v="29999"/>
    <x v="4"/>
    <n v="50000"/>
    <n v="6549"/>
    <n v="494"/>
    <n v="7.5399999999999995E-2"/>
    <n v="101"/>
    <n v="19715011"/>
    <n v="95"/>
    <n v="64"/>
    <x v="3"/>
    <s v="At-Risk"/>
    <x v="0"/>
  </r>
  <r>
    <s v="PRD1056"/>
    <s v="FitPulse"/>
    <x v="2"/>
    <s v="India"/>
    <x v="4"/>
    <s v="South"/>
    <s v="RivalCo"/>
    <n v="3098"/>
    <n v="2999"/>
    <x v="5"/>
    <n v="750000"/>
    <n v="753"/>
    <n v="53"/>
    <n v="7.0400000000000004E-2"/>
    <n v="14151"/>
    <n v="201091"/>
    <n v="50"/>
    <n v="51"/>
    <x v="1"/>
    <s v="Delayed"/>
    <x v="0"/>
  </r>
  <r>
    <s v="PRD1057"/>
    <s v="SonicBuds"/>
    <x v="1"/>
    <s v="India"/>
    <x v="3"/>
    <s v="Pan-India"/>
    <s v="FirstMover"/>
    <n v="18405"/>
    <n v="19999"/>
    <x v="0"/>
    <n v="500000"/>
    <n v="8693"/>
    <n v="715"/>
    <n v="8.2299999999999998E-2"/>
    <n v="699"/>
    <n v="16579609"/>
    <n v="65"/>
    <n v="73"/>
    <x v="2"/>
    <s v="On-Track"/>
    <x v="0"/>
  </r>
  <r>
    <s v="PRD1058"/>
    <s v="LingoLeap"/>
    <x v="2"/>
    <s v="Middle East"/>
    <x v="3"/>
    <s v="South"/>
    <s v="RivalCo"/>
    <n v="4128"/>
    <n v="4999"/>
    <x v="5"/>
    <n v="50000"/>
    <n v="8607"/>
    <n v="1160"/>
    <n v="0.1348"/>
    <n v="43"/>
    <n v="6964906"/>
    <n v="70"/>
    <n v="67"/>
    <x v="3"/>
    <s v="At-Risk"/>
    <x v="0"/>
  </r>
  <r>
    <s v="PRD1059"/>
    <s v="BudgetBee"/>
    <x v="2"/>
    <s v="Domestic Tier-1"/>
    <x v="2"/>
    <s v="South"/>
    <s v="MarketKing"/>
    <n v="5063"/>
    <n v="4999"/>
    <x v="2"/>
    <n v="500000"/>
    <n v="5729"/>
    <n v="481"/>
    <n v="8.4000000000000005E-2"/>
    <n v="1040"/>
    <n v="3236383"/>
    <n v="76"/>
    <n v="42"/>
    <x v="1"/>
    <s v="Delayed"/>
    <x v="0"/>
  </r>
  <r>
    <s v="PRD1060"/>
    <s v="FitPulse"/>
    <x v="2"/>
    <s v="Domestic Tier-1"/>
    <x v="2"/>
    <s v="East"/>
    <s v="MarketKing"/>
    <n v="3213"/>
    <n v="2999"/>
    <x v="5"/>
    <n v="50000"/>
    <n v="2723"/>
    <n v="169"/>
    <n v="6.2100000000000002E-2"/>
    <n v="296"/>
    <n v="541286"/>
    <n v="79"/>
    <n v="68"/>
    <x v="0"/>
    <s v="At-Risk"/>
    <x v="0"/>
  </r>
  <r>
    <s v="PRD1061"/>
    <s v="FlowDesk"/>
    <x v="0"/>
    <s v="Domestic Tier-1"/>
    <x v="0"/>
    <s v="West"/>
    <s v="RivalCo"/>
    <n v="864"/>
    <n v="799"/>
    <x v="4"/>
    <n v="750000"/>
    <n v="2298"/>
    <n v="155"/>
    <n v="6.7400000000000002E-2"/>
    <n v="4839"/>
    <n v="129284"/>
    <n v="69"/>
    <n v="44"/>
    <x v="1"/>
    <s v="Delayed"/>
    <x v="0"/>
  </r>
  <r>
    <s v="PRD1062"/>
    <s v="PixelCam"/>
    <x v="1"/>
    <s v="Middle East"/>
    <x v="2"/>
    <s v="North"/>
    <s v="RivalCo"/>
    <n v="32551"/>
    <n v="29999"/>
    <x v="5"/>
    <n v="500000"/>
    <n v="3374"/>
    <n v="88"/>
    <n v="2.6100000000000002E-2"/>
    <n v="5682"/>
    <n v="3668740"/>
    <n v="89"/>
    <n v="46"/>
    <x v="4"/>
    <s v="Delayed"/>
    <x v="0"/>
  </r>
  <r>
    <s v="PRD1063"/>
    <s v="RootBox"/>
    <x v="3"/>
    <s v="Domestic Tier-2"/>
    <x v="4"/>
    <s v="East"/>
    <s v="ApexBrand"/>
    <n v="4895"/>
    <n v="4999"/>
    <x v="3"/>
    <n v="350000"/>
    <n v="4248"/>
    <n v="259"/>
    <n v="6.0999999999999999E-2"/>
    <n v="1351"/>
    <n v="1775791"/>
    <n v="68"/>
    <n v="96"/>
    <x v="1"/>
    <s v="On-Track"/>
    <x v="0"/>
  </r>
  <r>
    <s v="PRD1064"/>
    <s v="GlowSerum"/>
    <x v="3"/>
    <s v="India"/>
    <x v="1"/>
    <s v="North"/>
    <s v="MarketKing"/>
    <n v="3609"/>
    <n v="2999"/>
    <x v="1"/>
    <n v="500000"/>
    <n v="4106"/>
    <n v="337"/>
    <n v="8.2100000000000006E-2"/>
    <n v="1484"/>
    <n v="1076068"/>
    <n v="81"/>
    <n v="93"/>
    <x v="1"/>
    <s v="Ready"/>
    <x v="0"/>
  </r>
  <r>
    <s v="PRD1065"/>
    <s v="SonicBuds"/>
    <x v="1"/>
    <s v="Domestic Tier-2"/>
    <x v="1"/>
    <s v="South"/>
    <s v="MarketKing"/>
    <n v="3508"/>
    <n v="2999"/>
    <x v="2"/>
    <n v="350000"/>
    <n v="3279"/>
    <n v="365"/>
    <n v="0.1113"/>
    <n v="959"/>
    <n v="1338189"/>
    <n v="87"/>
    <n v="45"/>
    <x v="4"/>
    <s v="Delayed"/>
    <x v="0"/>
  </r>
  <r>
    <s v="PRD1066"/>
    <s v="LingoLeap"/>
    <x v="2"/>
    <s v="Middle East"/>
    <x v="1"/>
    <s v="Pan-India"/>
    <s v="ApexBrand"/>
    <n v="8894"/>
    <n v="9999"/>
    <x v="5"/>
    <n v="750000"/>
    <n v="6001"/>
    <n v="307"/>
    <n v="5.1200000000000002E-2"/>
    <n v="2443"/>
    <n v="3888334"/>
    <n v="86"/>
    <n v="78"/>
    <x v="1"/>
    <s v="On-Track"/>
    <x v="0"/>
  </r>
  <r>
    <s v="PRD1067"/>
    <s v="LingoLeap"/>
    <x v="2"/>
    <s v="Middle East"/>
    <x v="3"/>
    <s v="Pan-India"/>
    <s v="ApexBrand"/>
    <n v="1752"/>
    <n v="1499"/>
    <x v="1"/>
    <n v="200000"/>
    <n v="8823"/>
    <n v="964"/>
    <n v="0.10929999999999999"/>
    <n v="207"/>
    <n v="1357024"/>
    <n v="91"/>
    <n v="55"/>
    <x v="1"/>
    <s v="At-Risk"/>
    <x v="0"/>
  </r>
  <r>
    <s v="PRD1068"/>
    <s v="BrewCraft"/>
    <x v="3"/>
    <s v="Domestic Tier-2"/>
    <x v="3"/>
    <s v="Pan-India"/>
    <s v="MarketKing"/>
    <n v="703"/>
    <n v="799"/>
    <x v="4"/>
    <n v="750000"/>
    <n v="528"/>
    <n v="42"/>
    <n v="7.9500000000000001E-2"/>
    <n v="17857"/>
    <n v="32773"/>
    <n v="80"/>
    <n v="86"/>
    <x v="4"/>
    <s v="Ready"/>
    <x v="0"/>
  </r>
  <r>
    <s v="PRD1069"/>
    <s v="OpsHub"/>
    <x v="0"/>
    <s v="Middle East"/>
    <x v="4"/>
    <s v="South"/>
    <s v="FirstMover"/>
    <n v="3390"/>
    <n v="2999"/>
    <x v="1"/>
    <n v="100000"/>
    <n v="4458"/>
    <n v="432"/>
    <n v="9.69E-2"/>
    <n v="231"/>
    <n v="1210903"/>
    <n v="84"/>
    <n v="72"/>
    <x v="4"/>
    <s v="On-Track"/>
    <x v="0"/>
  </r>
  <r>
    <s v="PRD1070"/>
    <s v="BrewCraft"/>
    <x v="3"/>
    <s v="India"/>
    <x v="4"/>
    <s v="East"/>
    <s v="MarketKing"/>
    <n v="1575"/>
    <n v="1499"/>
    <x v="0"/>
    <n v="350000"/>
    <n v="1087"/>
    <n v="148"/>
    <n v="0.13619999999999999"/>
    <n v="2365"/>
    <n v="217710"/>
    <n v="57"/>
    <n v="46"/>
    <x v="1"/>
    <s v="Delayed"/>
    <x v="0"/>
  </r>
  <r>
    <s v="PRD1071"/>
    <s v="LingoLeap"/>
    <x v="2"/>
    <s v="India"/>
    <x v="2"/>
    <s v="Pan-India"/>
    <s v="MarketKing"/>
    <n v="23771"/>
    <n v="19999"/>
    <x v="5"/>
    <n v="350000"/>
    <n v="4075"/>
    <n v="445"/>
    <n v="0.10920000000000001"/>
    <n v="787"/>
    <n v="10901836"/>
    <n v="68"/>
    <n v="48"/>
    <x v="0"/>
    <s v="Delayed"/>
    <x v="0"/>
  </r>
  <r>
    <s v="PRD1072"/>
    <s v="TeamSync"/>
    <x v="0"/>
    <s v="Domestic Tier-1"/>
    <x v="1"/>
    <s v="Pan-India"/>
    <s v="ValuePick"/>
    <n v="664"/>
    <n v="799"/>
    <x v="5"/>
    <n v="750000"/>
    <n v="8424"/>
    <n v="994"/>
    <n v="0.11799999999999999"/>
    <n v="755"/>
    <n v="1024720"/>
    <n v="47"/>
    <n v="45"/>
    <x v="0"/>
    <s v="Delayed"/>
    <x v="0"/>
  </r>
  <r>
    <s v="PRD1073"/>
    <s v="GlowSerum"/>
    <x v="3"/>
    <s v="Southeast Asia"/>
    <x v="2"/>
    <s v="East"/>
    <s v="ValuePick"/>
    <n v="10039"/>
    <n v="9999"/>
    <x v="6"/>
    <n v="750000"/>
    <n v="7597"/>
    <n v="251"/>
    <n v="3.3000000000000002E-2"/>
    <n v="2988"/>
    <n v="3279109"/>
    <n v="79"/>
    <n v="67"/>
    <x v="0"/>
    <s v="At-Risk"/>
    <x v="0"/>
  </r>
  <r>
    <s v="PRD1074"/>
    <s v="LingoLeap"/>
    <x v="2"/>
    <s v="Domestic Tier-2"/>
    <x v="3"/>
    <s v="Pan-India"/>
    <s v="ValuePick"/>
    <n v="9102"/>
    <n v="9999"/>
    <x v="0"/>
    <n v="100000"/>
    <n v="4048"/>
    <n v="246"/>
    <n v="6.08E-2"/>
    <n v="407"/>
    <n v="2370745"/>
    <n v="62"/>
    <n v="61"/>
    <x v="1"/>
    <s v="At-Risk"/>
    <x v="0"/>
  </r>
  <r>
    <s v="PRD1075"/>
    <s v="LingoLeap"/>
    <x v="2"/>
    <s v="Southeast Asia"/>
    <x v="3"/>
    <s v="South"/>
    <s v="ValuePick"/>
    <n v="709"/>
    <n v="799"/>
    <x v="3"/>
    <n v="350000"/>
    <n v="5690"/>
    <n v="412"/>
    <n v="7.2400000000000006E-2"/>
    <n v="850"/>
    <n v="302428"/>
    <n v="94"/>
    <n v="90"/>
    <x v="1"/>
    <s v="Ready"/>
    <x v="0"/>
  </r>
  <r>
    <s v="PRD1076"/>
    <s v="GlowSerum"/>
    <x v="3"/>
    <s v="Domestic Tier-1"/>
    <x v="0"/>
    <s v="East"/>
    <s v="RivalCo"/>
    <n v="5615"/>
    <n v="4999"/>
    <x v="3"/>
    <n v="100000"/>
    <n v="7060"/>
    <n v="530"/>
    <n v="7.51E-2"/>
    <n v="189"/>
    <n v="3066553"/>
    <n v="46"/>
    <n v="68"/>
    <x v="0"/>
    <s v="At-Risk"/>
    <x v="0"/>
  </r>
  <r>
    <s v="PRD1077"/>
    <s v="FitPulse"/>
    <x v="2"/>
    <s v="Domestic Tier-2"/>
    <x v="1"/>
    <s v="North"/>
    <s v="MarketKing"/>
    <n v="23496"/>
    <n v="19999"/>
    <x v="4"/>
    <n v="350000"/>
    <n v="6136"/>
    <n v="656"/>
    <n v="0.1069"/>
    <n v="534"/>
    <n v="15924748"/>
    <n v="89"/>
    <n v="88"/>
    <x v="3"/>
    <s v="Ready"/>
    <x v="0"/>
  </r>
  <r>
    <s v="PRD1078"/>
    <s v="PixelCam"/>
    <x v="1"/>
    <s v="Southeast Asia"/>
    <x v="4"/>
    <s v="South"/>
    <s v="RivalCo"/>
    <n v="8960"/>
    <n v="9999"/>
    <x v="3"/>
    <n v="500000"/>
    <n v="8145"/>
    <n v="238"/>
    <n v="2.92E-2"/>
    <n v="2101"/>
    <n v="2259483"/>
    <n v="69"/>
    <n v="43"/>
    <x v="0"/>
    <s v="Delayed"/>
    <x v="0"/>
  </r>
  <r>
    <s v="PRD1079"/>
    <s v="FitPulse"/>
    <x v="2"/>
    <s v="Domestic Tier-1"/>
    <x v="1"/>
    <s v="South"/>
    <s v="MarketKing"/>
    <n v="4667"/>
    <n v="4999"/>
    <x v="4"/>
    <n v="350000"/>
    <n v="494"/>
    <n v="54"/>
    <n v="0.10929999999999999"/>
    <n v="6481"/>
    <n v="252018"/>
    <n v="67"/>
    <n v="76"/>
    <x v="0"/>
    <s v="On-Track"/>
    <x v="0"/>
  </r>
  <r>
    <s v="PRD1080"/>
    <s v="GlowSerum"/>
    <x v="3"/>
    <s v="Domestic Tier-1"/>
    <x v="1"/>
    <s v="East"/>
    <s v="ApexBrand"/>
    <n v="30281"/>
    <n v="29999"/>
    <x v="1"/>
    <n v="200000"/>
    <n v="5985"/>
    <n v="598"/>
    <n v="9.9900000000000003E-2"/>
    <n v="334"/>
    <n v="19496477"/>
    <n v="87"/>
    <n v="54"/>
    <x v="4"/>
    <s v="Delayed"/>
    <x v="0"/>
  </r>
  <r>
    <s v="PRD1081"/>
    <s v="FitPulse"/>
    <x v="2"/>
    <s v="Southeast Asia"/>
    <x v="1"/>
    <s v="South"/>
    <s v="MarketKing"/>
    <n v="20335"/>
    <n v="19999"/>
    <x v="6"/>
    <n v="100000"/>
    <n v="1783"/>
    <n v="183"/>
    <n v="0.1026"/>
    <n v="546"/>
    <n v="3416719"/>
    <n v="47"/>
    <n v="41"/>
    <x v="2"/>
    <s v="Delayed"/>
    <x v="0"/>
  </r>
  <r>
    <s v="PRD1082"/>
    <s v="OpsHub"/>
    <x v="0"/>
    <s v="Domestic Tier-2"/>
    <x v="3"/>
    <s v="West"/>
    <s v="FirstMover"/>
    <n v="3202"/>
    <n v="2999"/>
    <x v="0"/>
    <n v="500000"/>
    <n v="2391"/>
    <n v="262"/>
    <n v="0.1096"/>
    <n v="1908"/>
    <n v="1050516"/>
    <n v="53"/>
    <n v="73"/>
    <x v="0"/>
    <s v="On-Track"/>
    <x v="0"/>
  </r>
  <r>
    <s v="PRD1083"/>
    <s v="BrewCraft"/>
    <x v="3"/>
    <s v="Southeast Asia"/>
    <x v="1"/>
    <s v="South"/>
    <s v="RivalCo"/>
    <n v="35481"/>
    <n v="29999"/>
    <x v="0"/>
    <n v="50000"/>
    <n v="1576"/>
    <n v="33"/>
    <n v="2.0899999999999998E-2"/>
    <n v="1515"/>
    <n v="1182484"/>
    <n v="53"/>
    <n v="70"/>
    <x v="3"/>
    <s v="On-Track"/>
    <x v="0"/>
  </r>
  <r>
    <s v="PRD1084"/>
    <s v="TeamSync"/>
    <x v="0"/>
    <s v="Middle East"/>
    <x v="4"/>
    <s v="North"/>
    <s v="MarketKing"/>
    <n v="8558"/>
    <n v="9999"/>
    <x v="3"/>
    <n v="100000"/>
    <n v="3703"/>
    <n v="154"/>
    <n v="4.1599999999999998E-2"/>
    <n v="649"/>
    <n v="2075885"/>
    <n v="87"/>
    <n v="73"/>
    <x v="1"/>
    <s v="On-Track"/>
    <x v="0"/>
  </r>
  <r>
    <s v="PRD1085"/>
    <s v="SonicBuds"/>
    <x v="1"/>
    <s v="Southeast Asia"/>
    <x v="1"/>
    <s v="West"/>
    <s v="MarketKing"/>
    <n v="20109"/>
    <n v="19999"/>
    <x v="0"/>
    <n v="100000"/>
    <n v="6457"/>
    <n v="427"/>
    <n v="6.6100000000000006E-2"/>
    <n v="234"/>
    <n v="11300585"/>
    <n v="75"/>
    <n v="98"/>
    <x v="0"/>
    <s v="Ready"/>
    <x v="0"/>
  </r>
  <r>
    <s v="PRD1086"/>
    <s v="SonicBuds"/>
    <x v="1"/>
    <s v="Domestic Tier-1"/>
    <x v="4"/>
    <s v="West"/>
    <s v="FirstMover"/>
    <n v="3077"/>
    <n v="2999"/>
    <x v="2"/>
    <n v="100000"/>
    <n v="2442"/>
    <n v="144"/>
    <n v="5.8999999999999997E-2"/>
    <n v="694"/>
    <n v="589397"/>
    <n v="94"/>
    <n v="43"/>
    <x v="4"/>
    <s v="Delayed"/>
    <x v="0"/>
  </r>
  <r>
    <s v="PRD1087"/>
    <s v="BrewCraft"/>
    <x v="3"/>
    <s v="Domestic Tier-1"/>
    <x v="0"/>
    <s v="West"/>
    <s v="ValuePick"/>
    <n v="739"/>
    <n v="799"/>
    <x v="5"/>
    <n v="100000"/>
    <n v="5225"/>
    <n v="398"/>
    <n v="7.6200000000000004E-2"/>
    <n v="251"/>
    <n v="433868"/>
    <n v="71"/>
    <n v="94"/>
    <x v="1"/>
    <s v="Ready"/>
    <x v="0"/>
  </r>
  <r>
    <s v="PRD1088"/>
    <s v="FlowDesk"/>
    <x v="0"/>
    <s v="Middle East"/>
    <x v="0"/>
    <s v="East"/>
    <s v="MarketKing"/>
    <n v="8919"/>
    <n v="9999"/>
    <x v="6"/>
    <n v="50000"/>
    <n v="1153"/>
    <n v="154"/>
    <n v="0.1336"/>
    <n v="325"/>
    <n v="1665136"/>
    <n v="74"/>
    <n v="49"/>
    <x v="4"/>
    <s v="Delayed"/>
    <x v="0"/>
  </r>
  <r>
    <s v="PRD1089"/>
    <s v="FlowDesk"/>
    <x v="0"/>
    <s v="India"/>
    <x v="1"/>
    <s v="East"/>
    <s v="MarketKing"/>
    <n v="36159"/>
    <n v="29999"/>
    <x v="6"/>
    <n v="500000"/>
    <n v="2296"/>
    <n v="272"/>
    <n v="0.11849999999999999"/>
    <n v="1838"/>
    <n v="9205072"/>
    <n v="92"/>
    <n v="44"/>
    <x v="1"/>
    <s v="Delayed"/>
    <x v="0"/>
  </r>
  <r>
    <s v="PRD1090"/>
    <s v="OpsHub"/>
    <x v="0"/>
    <s v="Domestic Tier-1"/>
    <x v="4"/>
    <s v="West"/>
    <s v="ValuePick"/>
    <n v="4544"/>
    <n v="4999"/>
    <x v="0"/>
    <n v="50000"/>
    <n v="1141"/>
    <n v="58"/>
    <n v="5.0799999999999998E-2"/>
    <n v="862"/>
    <n v="340934"/>
    <n v="85"/>
    <n v="82"/>
    <x v="0"/>
    <s v="On-Track"/>
    <x v="0"/>
  </r>
  <r>
    <s v="PRD1091"/>
    <s v="GlowSerum"/>
    <x v="3"/>
    <s v="Domestic Tier-2"/>
    <x v="2"/>
    <s v="North"/>
    <s v="MarketKing"/>
    <n v="6025"/>
    <n v="4999"/>
    <x v="3"/>
    <n v="100000"/>
    <n v="4915"/>
    <n v="274"/>
    <n v="5.57E-2"/>
    <n v="365"/>
    <n v="1389038"/>
    <n v="68"/>
    <n v="61"/>
    <x v="1"/>
    <s v="At-Risk"/>
    <x v="0"/>
  </r>
  <r>
    <s v="PRD1092"/>
    <s v="FitPulse"/>
    <x v="2"/>
    <s v="Middle East"/>
    <x v="4"/>
    <s v="East"/>
    <s v="MarketKing"/>
    <n v="11168"/>
    <n v="9999"/>
    <x v="3"/>
    <n v="200000"/>
    <n v="2803"/>
    <n v="367"/>
    <n v="0.13089999999999999"/>
    <n v="545"/>
    <n v="4405107"/>
    <n v="86"/>
    <n v="96"/>
    <x v="1"/>
    <s v="Ready"/>
    <x v="0"/>
  </r>
  <r>
    <s v="PRD1093"/>
    <s v="BudgetBee"/>
    <x v="2"/>
    <s v="India"/>
    <x v="4"/>
    <s v="East"/>
    <s v="MarketKing"/>
    <n v="5048"/>
    <n v="4999"/>
    <x v="3"/>
    <n v="200000"/>
    <n v="7283"/>
    <n v="293"/>
    <n v="4.02E-2"/>
    <n v="683"/>
    <n v="1805728"/>
    <n v="68"/>
    <n v="47"/>
    <x v="3"/>
    <s v="Delayed"/>
    <x v="0"/>
  </r>
  <r>
    <s v="PRD1094"/>
    <s v="RootBox"/>
    <x v="3"/>
    <s v="Domestic Tier-1"/>
    <x v="4"/>
    <s v="South"/>
    <s v="ApexBrand"/>
    <n v="4165"/>
    <n v="4999"/>
    <x v="0"/>
    <n v="200000"/>
    <n v="8615"/>
    <n v="509"/>
    <n v="5.91E-2"/>
    <n v="393"/>
    <n v="3298425"/>
    <n v="63"/>
    <n v="78"/>
    <x v="0"/>
    <s v="On-Track"/>
    <x v="0"/>
  </r>
  <r>
    <s v="PRD1095"/>
    <s v="RootBox"/>
    <x v="3"/>
    <s v="Domestic Tier-1"/>
    <x v="1"/>
    <s v="Pan-India"/>
    <s v="MarketKing"/>
    <n v="2582"/>
    <n v="2999"/>
    <x v="3"/>
    <n v="750000"/>
    <n v="1248"/>
    <n v="84"/>
    <n v="6.7299999999999999E-2"/>
    <n v="8929"/>
    <n v="279707"/>
    <n v="63"/>
    <n v="66"/>
    <x v="2"/>
    <s v="At-Risk"/>
    <x v="0"/>
  </r>
  <r>
    <s v="PRD1096"/>
    <s v="PixelCam"/>
    <x v="1"/>
    <s v="India"/>
    <x v="2"/>
    <s v="East"/>
    <s v="ApexBrand"/>
    <n v="700"/>
    <n v="799"/>
    <x v="0"/>
    <n v="750000"/>
    <n v="3759"/>
    <n v="322"/>
    <n v="8.5699999999999998E-2"/>
    <n v="2329"/>
    <n v="321265"/>
    <n v="76"/>
    <n v="59"/>
    <x v="4"/>
    <s v="At-Risk"/>
    <x v="0"/>
  </r>
  <r>
    <s v="PRD1097"/>
    <s v="GlowSerum"/>
    <x v="3"/>
    <s v="India"/>
    <x v="0"/>
    <s v="South"/>
    <s v="MarketKing"/>
    <n v="4892"/>
    <n v="4999"/>
    <x v="5"/>
    <n v="50000"/>
    <n v="2684"/>
    <n v="61"/>
    <n v="2.2700000000000001E-2"/>
    <n v="820"/>
    <n v="389548"/>
    <n v="63"/>
    <n v="69"/>
    <x v="3"/>
    <s v="At-Risk"/>
    <x v="0"/>
  </r>
  <r>
    <s v="PRD1098"/>
    <s v="RootBox"/>
    <x v="3"/>
    <s v="Domestic Tier-1"/>
    <x v="4"/>
    <s v="Pan-India"/>
    <s v="ApexBrand"/>
    <n v="1576"/>
    <n v="1499"/>
    <x v="5"/>
    <n v="200000"/>
    <n v="433"/>
    <n v="32"/>
    <n v="7.3899999999999993E-2"/>
    <n v="6250"/>
    <n v="56751"/>
    <n v="64"/>
    <n v="61"/>
    <x v="2"/>
    <s v="At-Risk"/>
    <x v="0"/>
  </r>
  <r>
    <s v="PRD1099"/>
    <s v="SonicBuds"/>
    <x v="1"/>
    <s v="Domestic Tier-2"/>
    <x v="3"/>
    <s v="East"/>
    <s v="FirstMover"/>
    <n v="853"/>
    <n v="799"/>
    <x v="3"/>
    <n v="500000"/>
    <n v="4812"/>
    <n v="661"/>
    <n v="0.13739999999999999"/>
    <n v="756"/>
    <n v="525241"/>
    <n v="61"/>
    <n v="45"/>
    <x v="4"/>
    <s v="Delayed"/>
    <x v="0"/>
  </r>
  <r>
    <s v="PRD1100"/>
    <s v="TeamSync"/>
    <x v="0"/>
    <s v="Domestic Tier-2"/>
    <x v="4"/>
    <s v="East"/>
    <s v="ApexBrand"/>
    <n v="3378"/>
    <n v="2999"/>
    <x v="1"/>
    <n v="350000"/>
    <n v="8346"/>
    <n v="970"/>
    <n v="0.1162"/>
    <n v="361"/>
    <n v="3529152"/>
    <n v="94"/>
    <n v="55"/>
    <x v="1"/>
    <s v="At-Risk"/>
    <x v="0"/>
  </r>
  <r>
    <s v="PRD1101"/>
    <s v="RootBox"/>
    <x v="3"/>
    <s v="Domestic Tier-2"/>
    <x v="1"/>
    <s v="South"/>
    <s v="RivalCo"/>
    <n v="28643"/>
    <n v="29999"/>
    <x v="2"/>
    <n v="50000"/>
    <n v="6263"/>
    <n v="486"/>
    <n v="7.7600000000000002E-2"/>
    <n v="103"/>
    <n v="13542647"/>
    <n v="69"/>
    <n v="86"/>
    <x v="0"/>
    <s v="On-Track"/>
    <x v="0"/>
  </r>
  <r>
    <s v="PRD1102"/>
    <s v="LingoLeap"/>
    <x v="2"/>
    <s v="Domestic Tier-2"/>
    <x v="0"/>
    <s v="Pan-India"/>
    <s v="ApexBrand"/>
    <n v="10912"/>
    <n v="9999"/>
    <x v="0"/>
    <n v="50000"/>
    <n v="6772"/>
    <n v="728"/>
    <n v="0.1075"/>
    <n v="69"/>
    <n v="9637411"/>
    <n v="52"/>
    <n v="75"/>
    <x v="3"/>
    <s v="On-Track"/>
    <x v="0"/>
  </r>
  <r>
    <s v="PRD1103"/>
    <s v="NovaWatch"/>
    <x v="1"/>
    <s v="India"/>
    <x v="1"/>
    <s v="Pan-India"/>
    <s v="RivalCo"/>
    <n v="2994"/>
    <n v="2999"/>
    <x v="4"/>
    <n v="200000"/>
    <n v="8166"/>
    <n v="206"/>
    <n v="2.52E-2"/>
    <n v="971"/>
    <n v="788392"/>
    <n v="70"/>
    <n v="44"/>
    <x v="2"/>
    <s v="Delayed"/>
    <x v="0"/>
  </r>
  <r>
    <s v="PRD1104"/>
    <s v="BudgetBee"/>
    <x v="2"/>
    <s v="Southeast Asia"/>
    <x v="3"/>
    <s v="East"/>
    <s v="RivalCo"/>
    <n v="29181"/>
    <n v="29999"/>
    <x v="3"/>
    <n v="350000"/>
    <n v="5635"/>
    <n v="196"/>
    <n v="3.4799999999999998E-2"/>
    <n v="1786"/>
    <n v="6384758"/>
    <n v="75"/>
    <n v="63"/>
    <x v="3"/>
    <s v="At-Risk"/>
    <x v="0"/>
  </r>
  <r>
    <s v="PRD1105"/>
    <s v="RootBox"/>
    <x v="3"/>
    <s v="Middle East"/>
    <x v="0"/>
    <s v="Pan-India"/>
    <s v="RivalCo"/>
    <n v="19007"/>
    <n v="19999"/>
    <x v="1"/>
    <n v="100000"/>
    <n v="2694"/>
    <n v="375"/>
    <n v="0.13919999999999999"/>
    <n v="267"/>
    <n v="7191117"/>
    <n v="67"/>
    <n v="88"/>
    <x v="3"/>
    <s v="On-Track"/>
    <x v="0"/>
  </r>
  <r>
    <s v="PRD1106"/>
    <s v="BrewCraft"/>
    <x v="3"/>
    <s v="India"/>
    <x v="3"/>
    <s v="East"/>
    <s v="RivalCo"/>
    <n v="29403"/>
    <n v="29999"/>
    <x v="6"/>
    <n v="350000"/>
    <n v="4998"/>
    <n v="376"/>
    <n v="7.5200000000000003E-2"/>
    <n v="931"/>
    <n v="14035575"/>
    <n v="72"/>
    <n v="71"/>
    <x v="4"/>
    <s v="On-Track"/>
    <x v="0"/>
  </r>
  <r>
    <s v="PRD1107"/>
    <s v="GlowSerum"/>
    <x v="3"/>
    <s v="India"/>
    <x v="3"/>
    <s v="Pan-India"/>
    <s v="MarketKing"/>
    <n v="3421"/>
    <n v="2999"/>
    <x v="5"/>
    <n v="750000"/>
    <n v="2525"/>
    <n v="190"/>
    <n v="7.5200000000000003E-2"/>
    <n v="3947"/>
    <n v="722763"/>
    <n v="95"/>
    <n v="74"/>
    <x v="3"/>
    <s v="On-Track"/>
    <x v="0"/>
  </r>
  <r>
    <s v="PRD1108"/>
    <s v="OpsHub"/>
    <x v="0"/>
    <s v="Southeast Asia"/>
    <x v="0"/>
    <s v="Pan-India"/>
    <s v="MarketKing"/>
    <n v="5578"/>
    <n v="4999"/>
    <x v="1"/>
    <n v="50000"/>
    <n v="3570"/>
    <n v="298"/>
    <n v="8.3500000000000005E-2"/>
    <n v="168"/>
    <n v="1553754"/>
    <n v="49"/>
    <n v="62"/>
    <x v="1"/>
    <s v="At-Risk"/>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E1CCB3-41EF-429F-A3E6-F1A326CE3B78}" name="pt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J7" firstHeaderRow="1" firstDataRow="1" firstDataCol="1"/>
  <pivotFields count="21">
    <pivotField showAll="0"/>
    <pivotField showAll="0"/>
    <pivotField showAll="0"/>
    <pivotField showAll="0"/>
    <pivotField axis="axisRow" showAll="0">
      <items count="6">
        <item x="0"/>
        <item x="2"/>
        <item x="1"/>
        <item x="3"/>
        <item x="4"/>
        <item t="default"/>
      </items>
    </pivotField>
    <pivotField showAll="0"/>
    <pivotField showAll="0"/>
    <pivotField showAll="0"/>
    <pivotField showAll="0"/>
    <pivotField showAll="0">
      <items count="8">
        <item x="2"/>
        <item x="4"/>
        <item x="0"/>
        <item x="1"/>
        <item x="3"/>
        <item x="5"/>
        <item x="6"/>
        <item t="default"/>
      </items>
    </pivotField>
    <pivotField showAll="0"/>
    <pivotField showAll="0"/>
    <pivotField showAll="0"/>
    <pivotField showAll="0"/>
    <pivotField showAll="0"/>
    <pivotField dataField="1" showAll="0"/>
    <pivotField showAll="0"/>
    <pivotField showAll="0"/>
    <pivotField showAll="0">
      <items count="6">
        <item x="3"/>
        <item x="4"/>
        <item x="0"/>
        <item x="2"/>
        <item x="1"/>
        <item t="default"/>
      </items>
    </pivotField>
    <pivotField showAll="0"/>
    <pivotField showAll="0"/>
  </pivotFields>
  <rowFields count="1">
    <field x="4"/>
  </rowFields>
  <rowItems count="6">
    <i>
      <x/>
    </i>
    <i>
      <x v="1"/>
    </i>
    <i>
      <x v="2"/>
    </i>
    <i>
      <x v="3"/>
    </i>
    <i>
      <x v="4"/>
    </i>
    <i t="grand">
      <x/>
    </i>
  </rowItems>
  <colItems count="1">
    <i/>
  </colItems>
  <dataFields count="1">
    <dataField name="Revenue"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6BFD14-A1B6-4BB3-BAF0-C2A7B7C4A3ED}" name="pt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3" firstHeaderRow="0" firstDataRow="1" firstDataCol="1"/>
  <pivotFields count="21">
    <pivotField showAll="0"/>
    <pivotField showAll="0"/>
    <pivotField showAll="0"/>
    <pivotField showAll="0"/>
    <pivotField showAll="0">
      <items count="6">
        <item x="0"/>
        <item x="2"/>
        <item x="1"/>
        <item x="3"/>
        <item x="4"/>
        <item t="default"/>
      </items>
    </pivotField>
    <pivotField showAll="0"/>
    <pivotField showAll="0"/>
    <pivotField showAll="0"/>
    <pivotField showAll="0"/>
    <pivotField showAll="0">
      <items count="8">
        <item x="2"/>
        <item x="4"/>
        <item x="0"/>
        <item x="1"/>
        <item x="3"/>
        <item x="5"/>
        <item x="6"/>
        <item t="default"/>
      </items>
    </pivotField>
    <pivotField showAll="0"/>
    <pivotField showAll="0"/>
    <pivotField showAll="0"/>
    <pivotField dataField="1" showAll="0"/>
    <pivotField dataField="1" showAll="0"/>
    <pivotField dataField="1" showAll="0"/>
    <pivotField dataField="1" showAll="0"/>
    <pivotField dataField="1" showAll="0"/>
    <pivotField showAll="0">
      <items count="6">
        <item x="3"/>
        <item x="4"/>
        <item x="0"/>
        <item x="2"/>
        <item x="1"/>
        <item t="default"/>
      </items>
    </pivotField>
    <pivotField showAll="0"/>
    <pivotField axis="axisRow" showAll="0">
      <items count="2">
        <item x="0"/>
        <item t="default"/>
      </items>
    </pivotField>
  </pivotFields>
  <rowFields count="1">
    <field x="20"/>
  </rowFields>
  <rowItems count="2">
    <i>
      <x/>
    </i>
    <i t="grand">
      <x/>
    </i>
  </rowItems>
  <colFields count="1">
    <field x="-2"/>
  </colFields>
  <colItems count="5">
    <i>
      <x/>
    </i>
    <i i="1">
      <x v="1"/>
    </i>
    <i i="2">
      <x v="2"/>
    </i>
    <i i="3">
      <x v="3"/>
    </i>
    <i i="4">
      <x v="4"/>
    </i>
  </colItems>
  <dataFields count="5">
    <dataField name="Total Revenue Forecast" fld="15" baseField="0" baseItem="0" numFmtId="164"/>
    <dataField name="Avg Market Demand" fld="16" subtotal="average" baseField="0" baseItem="0" numFmtId="165"/>
    <dataField name="Avg CAC" fld="14" subtotal="average" baseField="0" baseItem="0" numFmtId="164"/>
    <dataField name="Avg Conversion Rate" fld="13" subtotal="average" baseField="0" baseItem="0" numFmtId="166"/>
    <dataField name="Avg Readiness" fld="1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0FCBF4-6F0F-4B58-9317-EF20FE8C5943}" name="pt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76:J81" firstHeaderRow="1" firstDataRow="1" firstDataCol="1"/>
  <pivotFields count="21">
    <pivotField showAll="0"/>
    <pivotField showAll="0"/>
    <pivotField axis="axisRow" showAll="0">
      <items count="5">
        <item x="1"/>
        <item x="3"/>
        <item x="2"/>
        <item x="0"/>
        <item t="default"/>
      </items>
    </pivotField>
    <pivotField showAll="0"/>
    <pivotField showAll="0">
      <items count="6">
        <item x="0"/>
        <item x="2"/>
        <item x="1"/>
        <item x="3"/>
        <item x="4"/>
        <item t="default"/>
      </items>
    </pivotField>
    <pivotField showAll="0"/>
    <pivotField showAll="0"/>
    <pivotField showAll="0"/>
    <pivotField showAll="0"/>
    <pivotField showAll="0">
      <items count="8">
        <item x="2"/>
        <item x="4"/>
        <item x="0"/>
        <item x="1"/>
        <item x="3"/>
        <item x="5"/>
        <item x="6"/>
        <item t="default"/>
      </items>
    </pivotField>
    <pivotField showAll="0"/>
    <pivotField showAll="0"/>
    <pivotField showAll="0"/>
    <pivotField showAll="0"/>
    <pivotField showAll="0"/>
    <pivotField showAll="0"/>
    <pivotField dataField="1" showAll="0"/>
    <pivotField showAll="0"/>
    <pivotField showAll="0">
      <items count="6">
        <item x="3"/>
        <item x="4"/>
        <item x="0"/>
        <item x="2"/>
        <item x="1"/>
        <item t="default"/>
      </items>
    </pivotField>
    <pivotField showAll="0"/>
    <pivotField showAll="0"/>
  </pivotFields>
  <rowFields count="1">
    <field x="2"/>
  </rowFields>
  <rowItems count="5">
    <i>
      <x/>
    </i>
    <i>
      <x v="1"/>
    </i>
    <i>
      <x v="2"/>
    </i>
    <i>
      <x v="3"/>
    </i>
    <i t="grand">
      <x/>
    </i>
  </rowItems>
  <colItems count="1">
    <i/>
  </colItems>
  <dataFields count="1">
    <dataField name="Avg Demand" fld="1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9F6D87-4359-48FB-A143-DBE6649AED82}" name="pt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51:J59" firstHeaderRow="1" firstDataRow="1" firstDataCol="1"/>
  <pivotFields count="21">
    <pivotField showAll="0"/>
    <pivotField showAll="0"/>
    <pivotField showAll="0"/>
    <pivotField showAll="0"/>
    <pivotField showAll="0">
      <items count="6">
        <item x="0"/>
        <item x="2"/>
        <item x="1"/>
        <item x="3"/>
        <item x="4"/>
        <item t="default"/>
      </items>
    </pivotField>
    <pivotField showAll="0"/>
    <pivotField showAll="0"/>
    <pivotField showAll="0"/>
    <pivotField showAll="0"/>
    <pivotField axis="axisRow" showAll="0">
      <items count="8">
        <item x="2"/>
        <item x="4"/>
        <item x="0"/>
        <item x="1"/>
        <item x="3"/>
        <item x="5"/>
        <item x="6"/>
        <item t="default"/>
      </items>
    </pivotField>
    <pivotField showAll="0"/>
    <pivotField showAll="0"/>
    <pivotField showAll="0"/>
    <pivotField showAll="0"/>
    <pivotField showAll="0"/>
    <pivotField dataField="1" showAll="0"/>
    <pivotField showAll="0"/>
    <pivotField showAll="0"/>
    <pivotField showAll="0">
      <items count="6">
        <item x="3"/>
        <item x="4"/>
        <item x="0"/>
        <item x="2"/>
        <item x="1"/>
        <item t="default"/>
      </items>
    </pivotField>
    <pivotField showAll="0"/>
    <pivotField showAll="0"/>
  </pivotFields>
  <rowFields count="1">
    <field x="9"/>
  </rowFields>
  <rowItems count="8">
    <i>
      <x/>
    </i>
    <i>
      <x v="1"/>
    </i>
    <i>
      <x v="2"/>
    </i>
    <i>
      <x v="3"/>
    </i>
    <i>
      <x v="4"/>
    </i>
    <i>
      <x v="5"/>
    </i>
    <i>
      <x v="6"/>
    </i>
    <i t="grand">
      <x/>
    </i>
  </rowItems>
  <colItems count="1">
    <i/>
  </colItems>
  <dataFields count="1">
    <dataField name="Revenue" fld="1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78D2FC-5B37-4EFB-B1B8-62B0F57A1DDD}" name="p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6:J34" firstHeaderRow="1" firstDataRow="1" firstDataCol="1"/>
  <pivotFields count="21">
    <pivotField showAll="0"/>
    <pivotField showAll="0"/>
    <pivotField showAll="0"/>
    <pivotField showAll="0"/>
    <pivotField showAll="0">
      <items count="6">
        <item x="0"/>
        <item x="2"/>
        <item x="1"/>
        <item x="3"/>
        <item x="4"/>
        <item t="default"/>
      </items>
    </pivotField>
    <pivotField showAll="0"/>
    <pivotField showAll="0"/>
    <pivotField showAll="0"/>
    <pivotField showAll="0"/>
    <pivotField axis="axisRow" showAll="0">
      <items count="8">
        <item x="2"/>
        <item x="4"/>
        <item x="0"/>
        <item x="1"/>
        <item x="3"/>
        <item x="5"/>
        <item x="6"/>
        <item t="default"/>
      </items>
    </pivotField>
    <pivotField showAll="0"/>
    <pivotField showAll="0"/>
    <pivotField showAll="0"/>
    <pivotField showAll="0"/>
    <pivotField dataField="1" showAll="0"/>
    <pivotField showAll="0"/>
    <pivotField showAll="0"/>
    <pivotField showAll="0"/>
    <pivotField showAll="0">
      <items count="6">
        <item x="3"/>
        <item x="4"/>
        <item x="0"/>
        <item x="2"/>
        <item x="1"/>
        <item t="default"/>
      </items>
    </pivotField>
    <pivotField showAll="0"/>
    <pivotField showAll="0"/>
  </pivotFields>
  <rowFields count="1">
    <field x="9"/>
  </rowFields>
  <rowItems count="8">
    <i>
      <x/>
    </i>
    <i>
      <x v="1"/>
    </i>
    <i>
      <x v="2"/>
    </i>
    <i>
      <x v="3"/>
    </i>
    <i>
      <x v="4"/>
    </i>
    <i>
      <x v="5"/>
    </i>
    <i>
      <x v="6"/>
    </i>
    <i t="grand">
      <x/>
    </i>
  </rowItems>
  <colItems count="1">
    <i/>
  </colItems>
  <dataFields count="1">
    <dataField name="Avg CAC" fld="14"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E9C52B8-FC87-4B5A-9549-6373C37A2878}" sourceName="Customer Segment">
  <pivotTables>
    <pivotTable tabId="2" name="ptKPI"/>
    <pivotTable tabId="2" name="pt0"/>
    <pivotTable tabId="2" name="pt1"/>
    <pivotTable tabId="2" name="pt2"/>
    <pivotTable tabId="2" name="pt3"/>
  </pivotTables>
  <data>
    <tabular pivotCacheId="1538633818">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80E53FBE-7695-45FA-AFFD-320503B5491E}" sourceName="Marketing Channel">
  <pivotTables>
    <pivotTable tabId="2" name="ptKPI"/>
    <pivotTable tabId="2" name="pt0"/>
    <pivotTable tabId="2" name="pt1"/>
    <pivotTable tabId="2" name="pt2"/>
    <pivotTable tabId="2" name="pt3"/>
  </pivotTables>
  <data>
    <tabular pivotCacheId="1538633818">
      <items count="7">
        <i x="2" s="1"/>
        <i x="4" s="1"/>
        <i x="0" s="1"/>
        <i x="1" s="1"/>
        <i x="3"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unch_Phase" xr10:uid="{43ABCFE7-CF4F-45EF-B80D-E8C58CDD3967}" sourceName="Launch Phase">
  <pivotTables>
    <pivotTable tabId="2" name="ptKPI"/>
    <pivotTable tabId="2" name="pt0"/>
    <pivotTable tabId="2" name="pt1"/>
    <pivotTable tabId="2" name="pt2"/>
    <pivotTable tabId="2" name="pt3"/>
  </pivotTables>
  <data>
    <tabular pivotCacheId="1538633818">
      <items count="5">
        <i x="3"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6682B4A2-806E-47B6-90DB-159445E50107}" cache="Slicer_Customer_Segment" caption="Customer Segment" style="SlicerStyleLight2" rowHeight="249238"/>
  <slicer name="Marketing Channel" xr10:uid="{003F4EE1-E5C5-493A-974B-0FBC70F8DBC0}" cache="Slicer_Marketing_Channel" caption="Marketing Channel" style="SlicerStyleLight2" rowHeight="249238"/>
  <slicer name="Launch Phase" xr10:uid="{2BD16C90-39B8-4DB9-8C00-D8CC13FFAEBE}" cache="Slicer_Launch_Phase" caption="Launch Phase" style="SlicerStyleLight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F2F40D-78F5-44B9-9C3A-712D81866EBE}" name="tblGTM" displayName="tblGTM" ref="A1:U109" totalsRowShown="0">
  <autoFilter ref="A1:U109" xr:uid="{76F2F40D-78F5-44B9-9C3A-712D81866EBE}"/>
  <tableColumns count="21">
    <tableColumn id="1" xr3:uid="{4EF5CC7D-00DB-43BD-BE4D-6C7A88361324}" name="Product ID"/>
    <tableColumn id="2" xr3:uid="{5BAD260B-2A17-4523-B1A2-8A5081435B43}" name="Product Name"/>
    <tableColumn id="3" xr3:uid="{36DE6C81-F35D-446B-BAFA-6BD9E8383738}" name="Product Category"/>
    <tableColumn id="4" xr3:uid="{0797462D-E1C6-4853-9310-D00230C53A99}" name="Target Market"/>
    <tableColumn id="5" xr3:uid="{E675E238-5113-4D03-B50C-570025E124F4}" name="Customer Segment"/>
    <tableColumn id="6" xr3:uid="{7A6E186E-0ABF-4CF4-80BE-6D37BD867B75}" name="Region"/>
    <tableColumn id="7" xr3:uid="{D030CDE4-5B24-4E23-B6EF-0C0CD6C9270C}" name="Competitor Name"/>
    <tableColumn id="8" xr3:uid="{BBCE2D21-7F16-42A9-BF31-D370C0ED6FB0}" name="Competitor Price"/>
    <tableColumn id="9" xr3:uid="{946A7BB4-0EEE-44F1-90B8-80A6CF68BBAD}" name="Product Price"/>
    <tableColumn id="10" xr3:uid="{67E5F6CA-10D3-4B6E-9B21-E802B4DE96C2}" name="Marketing Channel"/>
    <tableColumn id="11" xr3:uid="{E1FFA1FE-07C5-40AA-B133-9AEA2335BE31}" name="Campaign Budget"/>
    <tableColumn id="12" xr3:uid="{D5D3AE7D-AC86-47A4-A81A-ADE89E92DCB8}" name="Expected Leads"/>
    <tableColumn id="13" xr3:uid="{AAC61191-5C7C-46C4-A099-C3C865211B36}" name="Expected Conversions"/>
    <tableColumn id="14" xr3:uid="{514EBD67-3C52-48F0-860A-31BBD0D9AE76}" name="Conversion Rate %"/>
    <tableColumn id="15" xr3:uid="{6174358C-0B6E-4D54-A81B-7341926D3311}" name="Customer Acquisition Cost"/>
    <tableColumn id="16" xr3:uid="{D8CEC8E6-F953-40B8-B8E8-6DF8223C26AD}" name="Revenue Forecast"/>
    <tableColumn id="17" xr3:uid="{14168E5C-D3D5-4460-8270-F9B8B18FA720}" name="Market Demand Score"/>
    <tableColumn id="18" xr3:uid="{683ACC2D-E779-4C7A-A089-ED4764DFBD57}" name="Product Readiness Score"/>
    <tableColumn id="19" xr3:uid="{45862BF8-1A4F-4F1D-B38E-3362D6712847}" name="Launch Phase"/>
    <tableColumn id="20" xr3:uid="{294A0BE7-5C9C-490D-B8B1-4CFFE06B130D}" name="GTM Status"/>
    <tableColumn id="21" xr3:uid="{C530928D-C7EF-430C-BF33-9CB50779B949}" name="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92FE0-F035-4451-A37C-4FC16161992F}">
  <sheetPr>
    <pageSetUpPr fitToPage="1"/>
  </sheetPr>
  <dimension ref="A1:O44"/>
  <sheetViews>
    <sheetView showGridLines="0" tabSelected="1" zoomScale="70" zoomScaleNormal="70" workbookViewId="0">
      <selection activeCell="X22" sqref="X22"/>
    </sheetView>
  </sheetViews>
  <sheetFormatPr defaultRowHeight="14.25" x14ac:dyDescent="0.45"/>
  <cols>
    <col min="1" max="15" width="9.59765625" customWidth="1"/>
  </cols>
  <sheetData>
    <row r="1" spans="1:15" ht="20" customHeight="1" x14ac:dyDescent="0.45">
      <c r="A1" s="13" t="s">
        <v>191</v>
      </c>
      <c r="B1" s="14"/>
      <c r="C1" s="14"/>
      <c r="D1" s="14"/>
      <c r="E1" s="14"/>
      <c r="F1" s="14"/>
      <c r="G1" s="14"/>
      <c r="H1" s="14"/>
      <c r="I1" s="14"/>
      <c r="J1" s="14"/>
      <c r="K1" s="14"/>
      <c r="L1" s="14"/>
      <c r="M1" s="14"/>
      <c r="N1" s="14"/>
      <c r="O1" s="14"/>
    </row>
    <row r="2" spans="1:15" ht="20" customHeight="1" x14ac:dyDescent="0.45">
      <c r="A2" s="14"/>
      <c r="B2" s="14"/>
      <c r="C2" s="14"/>
      <c r="D2" s="14"/>
      <c r="E2" s="14"/>
      <c r="F2" s="14"/>
      <c r="G2" s="14"/>
      <c r="H2" s="14"/>
      <c r="I2" s="14"/>
      <c r="J2" s="14"/>
      <c r="K2" s="14"/>
      <c r="L2" s="14"/>
      <c r="M2" s="14"/>
      <c r="N2" s="14"/>
      <c r="O2" s="14"/>
    </row>
    <row r="3" spans="1:15" ht="13.5" customHeight="1" x14ac:dyDescent="0.45">
      <c r="A3" s="15" t="s">
        <v>192</v>
      </c>
      <c r="B3" s="16"/>
      <c r="C3" s="16"/>
      <c r="D3" s="16"/>
      <c r="E3" s="16"/>
      <c r="F3" s="16"/>
      <c r="G3" s="16"/>
      <c r="H3" s="16"/>
      <c r="I3" s="16"/>
      <c r="J3" s="16"/>
      <c r="K3" s="16"/>
      <c r="L3" s="16"/>
      <c r="M3" s="16"/>
      <c r="N3" s="16"/>
      <c r="O3" s="16"/>
    </row>
    <row r="4" spans="1:15" ht="15" customHeight="1" x14ac:dyDescent="0.45">
      <c r="A4" s="7" t="s">
        <v>184</v>
      </c>
      <c r="B4" s="8"/>
      <c r="C4" s="8"/>
      <c r="D4" s="7" t="s">
        <v>185</v>
      </c>
      <c r="E4" s="8"/>
      <c r="F4" s="8"/>
      <c r="G4" s="7" t="s">
        <v>186</v>
      </c>
      <c r="H4" s="8"/>
      <c r="I4" s="8"/>
      <c r="J4" s="7" t="s">
        <v>187</v>
      </c>
      <c r="K4" s="8"/>
      <c r="L4" s="8"/>
      <c r="M4" s="7" t="s">
        <v>188</v>
      </c>
      <c r="N4" s="8"/>
      <c r="O4" s="9"/>
    </row>
    <row r="5" spans="1:15" ht="28.05" customHeight="1" x14ac:dyDescent="0.65">
      <c r="A5" s="17">
        <f>GETPIVOTDATA("Total Revenue Forecast",Pivots!$A$1)</f>
        <v>442126114</v>
      </c>
      <c r="B5" s="11"/>
      <c r="C5" s="11"/>
      <c r="D5" s="18">
        <f>GETPIVOTDATA("Avg Market Demand",Pivots!$A$1)</f>
        <v>71.592592592592595</v>
      </c>
      <c r="E5" s="11"/>
      <c r="F5" s="11"/>
      <c r="G5" s="19">
        <f>GETPIVOTDATA("Avg CAC",Pivots!$A$1)</f>
        <v>2077.8796296296296</v>
      </c>
      <c r="H5" s="11"/>
      <c r="I5" s="11"/>
      <c r="J5" s="20">
        <f>GETPIVOTDATA("Avg Conversion Rate",Pivots!$A$1)</f>
        <v>8.3147222222222247E-2</v>
      </c>
      <c r="K5" s="11"/>
      <c r="L5" s="11"/>
      <c r="M5" s="10">
        <f>GETPIVOTDATA("Avg Readiness",Pivots!$A$1)</f>
        <v>68.18518518518519</v>
      </c>
      <c r="N5" s="11"/>
      <c r="O5" s="12"/>
    </row>
    <row r="6" spans="1:15" ht="8" customHeight="1" x14ac:dyDescent="0.45">
      <c r="A6" s="6"/>
      <c r="B6" s="6"/>
    </row>
    <row r="7" spans="1:15" x14ac:dyDescent="0.45">
      <c r="A7" s="6"/>
      <c r="B7" s="6"/>
    </row>
    <row r="8" spans="1:15" x14ac:dyDescent="0.45">
      <c r="A8" s="6"/>
      <c r="B8" s="6"/>
    </row>
    <row r="9" spans="1:15" x14ac:dyDescent="0.45">
      <c r="A9" s="6"/>
      <c r="B9" s="6"/>
    </row>
    <row r="10" spans="1:15" x14ac:dyDescent="0.45">
      <c r="A10" s="6"/>
      <c r="B10" s="6"/>
    </row>
    <row r="11" spans="1:15" x14ac:dyDescent="0.45">
      <c r="A11" s="6"/>
      <c r="B11" s="6"/>
    </row>
    <row r="12" spans="1:15" x14ac:dyDescent="0.45">
      <c r="A12" s="6"/>
      <c r="B12" s="6"/>
    </row>
    <row r="13" spans="1:15" x14ac:dyDescent="0.45">
      <c r="A13" s="6"/>
      <c r="B13" s="6"/>
    </row>
    <row r="14" spans="1:15" x14ac:dyDescent="0.45">
      <c r="A14" s="6"/>
      <c r="B14" s="6"/>
    </row>
    <row r="15" spans="1:15" x14ac:dyDescent="0.45">
      <c r="A15" s="6"/>
      <c r="B15" s="6"/>
    </row>
    <row r="16" spans="1:15" x14ac:dyDescent="0.45">
      <c r="A16" s="6"/>
      <c r="B16" s="6"/>
    </row>
    <row r="17" spans="1:2" x14ac:dyDescent="0.45">
      <c r="A17" s="6"/>
      <c r="B17" s="6"/>
    </row>
    <row r="18" spans="1:2" x14ac:dyDescent="0.45">
      <c r="A18" s="6"/>
      <c r="B18" s="6"/>
    </row>
    <row r="19" spans="1:2" x14ac:dyDescent="0.45">
      <c r="A19" s="6"/>
      <c r="B19" s="6"/>
    </row>
    <row r="20" spans="1:2" x14ac:dyDescent="0.45">
      <c r="A20" s="6"/>
      <c r="B20" s="6"/>
    </row>
    <row r="21" spans="1:2" x14ac:dyDescent="0.45">
      <c r="A21" s="6"/>
      <c r="B21" s="6"/>
    </row>
    <row r="22" spans="1:2" x14ac:dyDescent="0.45">
      <c r="A22" s="6"/>
      <c r="B22" s="6"/>
    </row>
    <row r="23" spans="1:2" x14ac:dyDescent="0.45">
      <c r="A23" s="6"/>
      <c r="B23" s="6"/>
    </row>
    <row r="24" spans="1:2" x14ac:dyDescent="0.45">
      <c r="A24" s="6"/>
      <c r="B24" s="6"/>
    </row>
    <row r="25" spans="1:2" x14ac:dyDescent="0.45">
      <c r="A25" s="6"/>
      <c r="B25" s="6"/>
    </row>
    <row r="26" spans="1:2" x14ac:dyDescent="0.45">
      <c r="A26" s="6"/>
      <c r="B26" s="6"/>
    </row>
    <row r="27" spans="1:2" x14ac:dyDescent="0.45">
      <c r="A27" s="6"/>
      <c r="B27" s="6"/>
    </row>
    <row r="28" spans="1:2" x14ac:dyDescent="0.45">
      <c r="A28" s="6"/>
      <c r="B28" s="6"/>
    </row>
    <row r="29" spans="1:2" x14ac:dyDescent="0.45">
      <c r="A29" s="6"/>
      <c r="B29" s="6"/>
    </row>
    <row r="30" spans="1:2" x14ac:dyDescent="0.45">
      <c r="A30" s="6"/>
      <c r="B30" s="6"/>
    </row>
    <row r="31" spans="1:2" x14ac:dyDescent="0.45">
      <c r="A31" s="6"/>
      <c r="B31" s="6"/>
    </row>
    <row r="32" spans="1:2" x14ac:dyDescent="0.45">
      <c r="A32" s="6"/>
      <c r="B32" s="6"/>
    </row>
    <row r="33" spans="1:15" x14ac:dyDescent="0.45">
      <c r="A33" s="6"/>
      <c r="B33" s="6"/>
    </row>
    <row r="34" spans="1:15" x14ac:dyDescent="0.45">
      <c r="A34" s="6"/>
      <c r="B34" s="6"/>
    </row>
    <row r="35" spans="1:15" x14ac:dyDescent="0.45">
      <c r="A35" s="6"/>
      <c r="B35" s="6"/>
    </row>
    <row r="36" spans="1:15" x14ac:dyDescent="0.45">
      <c r="A36" s="6"/>
      <c r="B36" s="6"/>
    </row>
    <row r="37" spans="1:15" x14ac:dyDescent="0.45">
      <c r="A37" s="6"/>
      <c r="B37" s="6"/>
    </row>
    <row r="38" spans="1:15" x14ac:dyDescent="0.45">
      <c r="A38" s="6"/>
      <c r="B38" s="6"/>
    </row>
    <row r="39" spans="1:15" x14ac:dyDescent="0.45">
      <c r="A39" s="6"/>
      <c r="B39" s="6"/>
    </row>
    <row r="40" spans="1:15" x14ac:dyDescent="0.45">
      <c r="A40" s="6"/>
      <c r="B40" s="6"/>
      <c r="C40" s="6"/>
      <c r="D40" s="6"/>
      <c r="E40" s="6"/>
      <c r="F40" s="6"/>
      <c r="G40" s="6"/>
      <c r="H40" s="6"/>
      <c r="I40" s="6"/>
      <c r="J40" s="6"/>
      <c r="K40" s="6"/>
      <c r="L40" s="6"/>
      <c r="M40" s="6"/>
      <c r="N40" s="6"/>
      <c r="O40" s="6"/>
    </row>
    <row r="41" spans="1:15" x14ac:dyDescent="0.45">
      <c r="A41" s="6"/>
      <c r="B41" s="6"/>
      <c r="C41" s="6"/>
      <c r="D41" s="6"/>
      <c r="E41" s="6"/>
      <c r="F41" s="6"/>
      <c r="G41" s="6"/>
      <c r="H41" s="6"/>
      <c r="I41" s="6"/>
      <c r="J41" s="6"/>
      <c r="K41" s="6"/>
      <c r="L41" s="6"/>
      <c r="M41" s="6"/>
      <c r="N41" s="6"/>
      <c r="O41" s="6"/>
    </row>
    <row r="42" spans="1:15" x14ac:dyDescent="0.45">
      <c r="A42" s="6"/>
      <c r="B42" s="6"/>
      <c r="C42" s="6"/>
      <c r="D42" s="6"/>
      <c r="E42" s="6"/>
      <c r="F42" s="6"/>
      <c r="G42" s="6"/>
      <c r="H42" s="6"/>
      <c r="I42" s="6"/>
      <c r="J42" s="6"/>
      <c r="K42" s="6"/>
      <c r="L42" s="6"/>
      <c r="M42" s="6"/>
      <c r="N42" s="6"/>
      <c r="O42" s="6"/>
    </row>
    <row r="43" spans="1:15" x14ac:dyDescent="0.45">
      <c r="A43" s="6"/>
      <c r="B43" s="6"/>
      <c r="C43" s="6"/>
      <c r="D43" s="6"/>
      <c r="E43" s="6"/>
      <c r="F43" s="6"/>
      <c r="G43" s="6"/>
      <c r="H43" s="6"/>
      <c r="I43" s="6"/>
      <c r="J43" s="6"/>
      <c r="K43" s="6"/>
      <c r="L43" s="6"/>
      <c r="M43" s="6"/>
      <c r="N43" s="6"/>
      <c r="O43" s="6"/>
    </row>
    <row r="44" spans="1:15" x14ac:dyDescent="0.45">
      <c r="A44" s="6"/>
      <c r="B44" s="6"/>
      <c r="C44" s="6"/>
      <c r="D44" s="6"/>
      <c r="E44" s="6"/>
      <c r="F44" s="6"/>
      <c r="G44" s="6"/>
      <c r="H44" s="6"/>
      <c r="I44" s="6"/>
      <c r="J44" s="6"/>
      <c r="K44" s="6"/>
      <c r="L44" s="6"/>
      <c r="M44" s="6"/>
      <c r="N44" s="6"/>
      <c r="O44" s="6"/>
    </row>
  </sheetData>
  <mergeCells count="12">
    <mergeCell ref="M4:O4"/>
    <mergeCell ref="M5:O5"/>
    <mergeCell ref="A1:O2"/>
    <mergeCell ref="A3:O3"/>
    <mergeCell ref="A4:C4"/>
    <mergeCell ref="A5:C5"/>
    <mergeCell ref="D4:F4"/>
    <mergeCell ref="D5:F5"/>
    <mergeCell ref="G4:I4"/>
    <mergeCell ref="G5:I5"/>
    <mergeCell ref="J4:L4"/>
    <mergeCell ref="J5:L5"/>
  </mergeCells>
  <pageMargins left="0.2" right="0.2" top="0.2" bottom="0.2" header="0.3" footer="0.3"/>
  <pageSetup scale="85"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D221E-B586-4877-A406-9B3D0BE89694}">
  <dimension ref="A1:J81"/>
  <sheetViews>
    <sheetView workbookViewId="0"/>
  </sheetViews>
  <sheetFormatPr defaultRowHeight="14.25" x14ac:dyDescent="0.45"/>
  <cols>
    <col min="1" max="1" width="11.9296875" bestFit="1" customWidth="1"/>
    <col min="2" max="2" width="19.3984375" bestFit="1" customWidth="1"/>
    <col min="3" max="3" width="16.46484375" bestFit="1" customWidth="1"/>
    <col min="4" max="4" width="7.33203125" bestFit="1" customWidth="1"/>
    <col min="5" max="5" width="17.06640625" bestFit="1" customWidth="1"/>
    <col min="6" max="6" width="12.1328125" bestFit="1" customWidth="1"/>
    <col min="9" max="9" width="16.6640625" bestFit="1" customWidth="1"/>
    <col min="10" max="10" width="9.73046875" bestFit="1" customWidth="1"/>
  </cols>
  <sheetData>
    <row r="1" spans="1:10" x14ac:dyDescent="0.45">
      <c r="A1" s="1" t="s">
        <v>182</v>
      </c>
      <c r="B1" t="s">
        <v>184</v>
      </c>
      <c r="C1" t="s">
        <v>185</v>
      </c>
      <c r="D1" t="s">
        <v>186</v>
      </c>
      <c r="E1" t="s">
        <v>187</v>
      </c>
      <c r="F1" t="s">
        <v>188</v>
      </c>
      <c r="I1" s="1" t="s">
        <v>182</v>
      </c>
      <c r="J1" t="s">
        <v>189</v>
      </c>
    </row>
    <row r="2" spans="1:10" x14ac:dyDescent="0.45">
      <c r="A2" s="2" t="s">
        <v>31</v>
      </c>
      <c r="B2" s="3">
        <v>442126114</v>
      </c>
      <c r="C2" s="4">
        <v>71.592592592592595</v>
      </c>
      <c r="D2" s="3">
        <v>2077.8796296296296</v>
      </c>
      <c r="E2" s="5">
        <v>8.3147222222222247E-2</v>
      </c>
      <c r="F2" s="4">
        <v>68.18518518518519</v>
      </c>
      <c r="I2" s="2" t="s">
        <v>25</v>
      </c>
      <c r="J2">
        <v>57880404</v>
      </c>
    </row>
    <row r="3" spans="1:10" x14ac:dyDescent="0.45">
      <c r="A3" s="2" t="s">
        <v>183</v>
      </c>
      <c r="B3" s="3">
        <v>442126114</v>
      </c>
      <c r="C3" s="4">
        <v>71.592592592592595</v>
      </c>
      <c r="D3" s="3">
        <v>2077.8796296296296</v>
      </c>
      <c r="E3" s="5">
        <v>8.3147222222222247E-2</v>
      </c>
      <c r="F3" s="4">
        <v>68.18518518518519</v>
      </c>
      <c r="I3" s="2" t="s">
        <v>44</v>
      </c>
      <c r="J3">
        <v>42105510</v>
      </c>
    </row>
    <row r="4" spans="1:10" x14ac:dyDescent="0.45">
      <c r="I4" s="2" t="s">
        <v>35</v>
      </c>
      <c r="J4">
        <v>152038223</v>
      </c>
    </row>
    <row r="5" spans="1:10" x14ac:dyDescent="0.45">
      <c r="I5" s="2" t="s">
        <v>53</v>
      </c>
      <c r="J5">
        <v>122708748</v>
      </c>
    </row>
    <row r="6" spans="1:10" x14ac:dyDescent="0.45">
      <c r="I6" s="2" t="s">
        <v>68</v>
      </c>
      <c r="J6">
        <v>67393229</v>
      </c>
    </row>
    <row r="7" spans="1:10" x14ac:dyDescent="0.45">
      <c r="I7" s="2" t="s">
        <v>183</v>
      </c>
      <c r="J7">
        <v>442126114</v>
      </c>
    </row>
    <row r="26" spans="9:10" x14ac:dyDescent="0.45">
      <c r="I26" s="1" t="s">
        <v>182</v>
      </c>
      <c r="J26" t="s">
        <v>186</v>
      </c>
    </row>
    <row r="27" spans="9:10" x14ac:dyDescent="0.45">
      <c r="I27" s="2" t="s">
        <v>47</v>
      </c>
      <c r="J27">
        <v>1492.2857142857142</v>
      </c>
    </row>
    <row r="28" spans="9:10" x14ac:dyDescent="0.45">
      <c r="I28" s="2" t="s">
        <v>61</v>
      </c>
      <c r="J28">
        <v>6121.5384615384619</v>
      </c>
    </row>
    <row r="29" spans="9:10" x14ac:dyDescent="0.45">
      <c r="I29" s="2" t="s">
        <v>28</v>
      </c>
      <c r="J29">
        <v>1220.6470588235295</v>
      </c>
    </row>
    <row r="30" spans="9:10" x14ac:dyDescent="0.45">
      <c r="I30" s="2" t="s">
        <v>38</v>
      </c>
      <c r="J30">
        <v>551</v>
      </c>
    </row>
    <row r="31" spans="9:10" x14ac:dyDescent="0.45">
      <c r="I31" s="2" t="s">
        <v>56</v>
      </c>
      <c r="J31">
        <v>1334.7619047619048</v>
      </c>
    </row>
    <row r="32" spans="9:10" x14ac:dyDescent="0.45">
      <c r="I32" s="2" t="s">
        <v>76</v>
      </c>
      <c r="J32">
        <v>3020.8333333333335</v>
      </c>
    </row>
    <row r="33" spans="9:10" x14ac:dyDescent="0.45">
      <c r="I33" s="2" t="s">
        <v>80</v>
      </c>
      <c r="J33">
        <v>1329.6666666666667</v>
      </c>
    </row>
    <row r="34" spans="9:10" x14ac:dyDescent="0.45">
      <c r="I34" s="2" t="s">
        <v>183</v>
      </c>
      <c r="J34">
        <v>2077.8796296296296</v>
      </c>
    </row>
    <row r="51" spans="9:10" x14ac:dyDescent="0.45">
      <c r="I51" s="1" t="s">
        <v>182</v>
      </c>
      <c r="J51" t="s">
        <v>189</v>
      </c>
    </row>
    <row r="52" spans="9:10" x14ac:dyDescent="0.45">
      <c r="I52" s="2" t="s">
        <v>47</v>
      </c>
      <c r="J52">
        <v>28036572</v>
      </c>
    </row>
    <row r="53" spans="9:10" x14ac:dyDescent="0.45">
      <c r="I53" s="2" t="s">
        <v>61</v>
      </c>
      <c r="J53">
        <v>50217343</v>
      </c>
    </row>
    <row r="54" spans="9:10" x14ac:dyDescent="0.45">
      <c r="I54" s="2" t="s">
        <v>28</v>
      </c>
      <c r="J54">
        <v>69649736</v>
      </c>
    </row>
    <row r="55" spans="9:10" x14ac:dyDescent="0.45">
      <c r="I55" s="2" t="s">
        <v>38</v>
      </c>
      <c r="J55">
        <v>106358727</v>
      </c>
    </row>
    <row r="56" spans="9:10" x14ac:dyDescent="0.45">
      <c r="I56" s="2" t="s">
        <v>56</v>
      </c>
      <c r="J56">
        <v>70829762</v>
      </c>
    </row>
    <row r="57" spans="9:10" x14ac:dyDescent="0.45">
      <c r="I57" s="2" t="s">
        <v>76</v>
      </c>
      <c r="J57">
        <v>56628117</v>
      </c>
    </row>
    <row r="58" spans="9:10" x14ac:dyDescent="0.45">
      <c r="I58" s="2" t="s">
        <v>80</v>
      </c>
      <c r="J58">
        <v>60405857</v>
      </c>
    </row>
    <row r="59" spans="9:10" x14ac:dyDescent="0.45">
      <c r="I59" s="2" t="s">
        <v>183</v>
      </c>
      <c r="J59">
        <v>442126114</v>
      </c>
    </row>
    <row r="76" spans="9:10" x14ac:dyDescent="0.45">
      <c r="I76" s="1" t="s">
        <v>182</v>
      </c>
      <c r="J76" t="s">
        <v>190</v>
      </c>
    </row>
    <row r="77" spans="9:10" x14ac:dyDescent="0.45">
      <c r="I77" s="2" t="s">
        <v>43</v>
      </c>
      <c r="J77">
        <v>75.125</v>
      </c>
    </row>
    <row r="78" spans="9:10" x14ac:dyDescent="0.45">
      <c r="I78" s="2" t="s">
        <v>64</v>
      </c>
      <c r="J78">
        <v>69.517241379310349</v>
      </c>
    </row>
    <row r="79" spans="9:10" x14ac:dyDescent="0.45">
      <c r="I79" s="2" t="s">
        <v>51</v>
      </c>
      <c r="J79">
        <v>70.516129032258064</v>
      </c>
    </row>
    <row r="80" spans="9:10" x14ac:dyDescent="0.45">
      <c r="I80" s="2" t="s">
        <v>23</v>
      </c>
      <c r="J80">
        <v>71.958333333333329</v>
      </c>
    </row>
    <row r="81" spans="9:10" x14ac:dyDescent="0.45">
      <c r="I81" s="2" t="s">
        <v>183</v>
      </c>
      <c r="J81">
        <v>71.592592592592595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EACE6-18CA-4F49-89F1-ABA0BE48E89A}">
  <dimension ref="A1:U109"/>
  <sheetViews>
    <sheetView workbookViewId="0"/>
  </sheetViews>
  <sheetFormatPr defaultRowHeight="14.25" x14ac:dyDescent="0.45"/>
  <cols>
    <col min="1" max="21" width="15.59765625" customWidth="1"/>
  </cols>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t="s">
        <v>21</v>
      </c>
      <c r="B2" t="s">
        <v>22</v>
      </c>
      <c r="C2" t="s">
        <v>23</v>
      </c>
      <c r="D2" t="s">
        <v>24</v>
      </c>
      <c r="E2" t="s">
        <v>25</v>
      </c>
      <c r="F2" t="s">
        <v>26</v>
      </c>
      <c r="G2" t="s">
        <v>27</v>
      </c>
      <c r="H2">
        <v>3139</v>
      </c>
      <c r="I2">
        <v>2999</v>
      </c>
      <c r="J2" t="s">
        <v>28</v>
      </c>
      <c r="K2">
        <v>100000</v>
      </c>
      <c r="L2">
        <v>7112</v>
      </c>
      <c r="M2">
        <v>545</v>
      </c>
      <c r="N2">
        <v>7.6600000000000001E-2</v>
      </c>
      <c r="O2">
        <v>183</v>
      </c>
      <c r="P2">
        <v>1947219</v>
      </c>
      <c r="Q2">
        <v>50</v>
      </c>
      <c r="R2">
        <v>71</v>
      </c>
      <c r="S2" t="s">
        <v>29</v>
      </c>
      <c r="T2" t="s">
        <v>30</v>
      </c>
      <c r="U2" t="s">
        <v>31</v>
      </c>
    </row>
    <row r="3" spans="1:21" x14ac:dyDescent="0.45">
      <c r="A3" t="s">
        <v>32</v>
      </c>
      <c r="B3" t="s">
        <v>33</v>
      </c>
      <c r="C3" t="s">
        <v>23</v>
      </c>
      <c r="D3" t="s">
        <v>34</v>
      </c>
      <c r="E3" t="s">
        <v>35</v>
      </c>
      <c r="F3" t="s">
        <v>36</v>
      </c>
      <c r="G3" t="s">
        <v>37</v>
      </c>
      <c r="H3">
        <v>918</v>
      </c>
      <c r="I3">
        <v>799</v>
      </c>
      <c r="J3" t="s">
        <v>38</v>
      </c>
      <c r="K3">
        <v>350000</v>
      </c>
      <c r="L3">
        <v>4990</v>
      </c>
      <c r="M3">
        <v>522</v>
      </c>
      <c r="N3">
        <v>0.1046</v>
      </c>
      <c r="O3">
        <v>670</v>
      </c>
      <c r="P3">
        <v>383390</v>
      </c>
      <c r="Q3">
        <v>56</v>
      </c>
      <c r="R3">
        <v>49</v>
      </c>
      <c r="S3" t="s">
        <v>39</v>
      </c>
      <c r="T3" t="s">
        <v>40</v>
      </c>
      <c r="U3" t="s">
        <v>31</v>
      </c>
    </row>
    <row r="4" spans="1:21" x14ac:dyDescent="0.45">
      <c r="A4" t="s">
        <v>41</v>
      </c>
      <c r="B4" t="s">
        <v>42</v>
      </c>
      <c r="C4" t="s">
        <v>43</v>
      </c>
      <c r="D4" t="s">
        <v>24</v>
      </c>
      <c r="E4" t="s">
        <v>44</v>
      </c>
      <c r="F4" t="s">
        <v>45</v>
      </c>
      <c r="G4" t="s">
        <v>27</v>
      </c>
      <c r="H4">
        <v>1823</v>
      </c>
      <c r="I4">
        <v>1499</v>
      </c>
      <c r="J4" t="s">
        <v>38</v>
      </c>
      <c r="K4">
        <v>50000</v>
      </c>
      <c r="L4">
        <v>4861</v>
      </c>
      <c r="M4">
        <v>608</v>
      </c>
      <c r="N4">
        <v>0.12509999999999999</v>
      </c>
      <c r="O4">
        <v>82</v>
      </c>
      <c r="P4">
        <v>1165132</v>
      </c>
      <c r="Q4">
        <v>86</v>
      </c>
      <c r="R4">
        <v>80</v>
      </c>
      <c r="S4" t="s">
        <v>39</v>
      </c>
      <c r="T4" t="s">
        <v>30</v>
      </c>
      <c r="U4" t="s">
        <v>31</v>
      </c>
    </row>
    <row r="5" spans="1:21" x14ac:dyDescent="0.45">
      <c r="A5" t="s">
        <v>46</v>
      </c>
      <c r="B5" t="s">
        <v>42</v>
      </c>
      <c r="C5" t="s">
        <v>43</v>
      </c>
      <c r="D5" t="s">
        <v>34</v>
      </c>
      <c r="E5" t="s">
        <v>35</v>
      </c>
      <c r="F5" t="s">
        <v>45</v>
      </c>
      <c r="G5" t="s">
        <v>27</v>
      </c>
      <c r="H5">
        <v>1754</v>
      </c>
      <c r="I5">
        <v>1499</v>
      </c>
      <c r="J5" t="s">
        <v>47</v>
      </c>
      <c r="K5">
        <v>750000</v>
      </c>
      <c r="L5">
        <v>3253</v>
      </c>
      <c r="M5">
        <v>254</v>
      </c>
      <c r="N5">
        <v>7.8100000000000003E-2</v>
      </c>
      <c r="O5">
        <v>2953</v>
      </c>
      <c r="P5">
        <v>377449</v>
      </c>
      <c r="Q5">
        <v>93</v>
      </c>
      <c r="R5">
        <v>42</v>
      </c>
      <c r="S5" t="s">
        <v>48</v>
      </c>
      <c r="T5" t="s">
        <v>40</v>
      </c>
      <c r="U5" t="s">
        <v>31</v>
      </c>
    </row>
    <row r="6" spans="1:21" x14ac:dyDescent="0.45">
      <c r="A6" t="s">
        <v>49</v>
      </c>
      <c r="B6" t="s">
        <v>50</v>
      </c>
      <c r="C6" t="s">
        <v>51</v>
      </c>
      <c r="D6" t="s">
        <v>52</v>
      </c>
      <c r="E6" t="s">
        <v>53</v>
      </c>
      <c r="F6" t="s">
        <v>54</v>
      </c>
      <c r="G6" t="s">
        <v>55</v>
      </c>
      <c r="H6">
        <v>2620</v>
      </c>
      <c r="I6">
        <v>2999</v>
      </c>
      <c r="J6" t="s">
        <v>56</v>
      </c>
      <c r="K6">
        <v>100000</v>
      </c>
      <c r="L6">
        <v>841</v>
      </c>
      <c r="M6">
        <v>79</v>
      </c>
      <c r="N6">
        <v>9.3899999999999997E-2</v>
      </c>
      <c r="O6">
        <v>1266</v>
      </c>
      <c r="P6">
        <v>274087</v>
      </c>
      <c r="Q6">
        <v>45</v>
      </c>
      <c r="R6">
        <v>71</v>
      </c>
      <c r="S6" t="s">
        <v>29</v>
      </c>
      <c r="T6" t="s">
        <v>30</v>
      </c>
      <c r="U6" t="s">
        <v>31</v>
      </c>
    </row>
    <row r="7" spans="1:21" x14ac:dyDescent="0.45">
      <c r="A7" t="s">
        <v>57</v>
      </c>
      <c r="B7" t="s">
        <v>58</v>
      </c>
      <c r="C7" t="s">
        <v>23</v>
      </c>
      <c r="D7" t="s">
        <v>24</v>
      </c>
      <c r="E7" t="s">
        <v>44</v>
      </c>
      <c r="F7" t="s">
        <v>59</v>
      </c>
      <c r="G7" t="s">
        <v>60</v>
      </c>
      <c r="H7">
        <v>813</v>
      </c>
      <c r="I7">
        <v>799</v>
      </c>
      <c r="J7" t="s">
        <v>61</v>
      </c>
      <c r="K7">
        <v>100000</v>
      </c>
      <c r="L7">
        <v>3423</v>
      </c>
      <c r="M7">
        <v>336</v>
      </c>
      <c r="N7">
        <v>9.8199999999999996E-2</v>
      </c>
      <c r="O7">
        <v>298</v>
      </c>
      <c r="P7">
        <v>250185</v>
      </c>
      <c r="Q7">
        <v>70</v>
      </c>
      <c r="R7">
        <v>49</v>
      </c>
      <c r="S7" t="s">
        <v>48</v>
      </c>
      <c r="T7" t="s">
        <v>40</v>
      </c>
      <c r="U7" t="s">
        <v>31</v>
      </c>
    </row>
    <row r="8" spans="1:21" x14ac:dyDescent="0.45">
      <c r="A8" t="s">
        <v>62</v>
      </c>
      <c r="B8" t="s">
        <v>63</v>
      </c>
      <c r="C8" t="s">
        <v>64</v>
      </c>
      <c r="D8" t="s">
        <v>65</v>
      </c>
      <c r="E8" t="s">
        <v>44</v>
      </c>
      <c r="F8" t="s">
        <v>36</v>
      </c>
      <c r="G8" t="s">
        <v>37</v>
      </c>
      <c r="H8">
        <v>808</v>
      </c>
      <c r="I8">
        <v>799</v>
      </c>
      <c r="J8" t="s">
        <v>38</v>
      </c>
      <c r="K8">
        <v>350000</v>
      </c>
      <c r="L8">
        <v>7286</v>
      </c>
      <c r="M8">
        <v>167</v>
      </c>
      <c r="N8">
        <v>2.29E-2</v>
      </c>
      <c r="O8">
        <v>2096</v>
      </c>
      <c r="P8">
        <v>172771</v>
      </c>
      <c r="Q8">
        <v>90</v>
      </c>
      <c r="R8">
        <v>65</v>
      </c>
      <c r="S8" t="s">
        <v>39</v>
      </c>
      <c r="T8" t="s">
        <v>66</v>
      </c>
      <c r="U8" t="s">
        <v>31</v>
      </c>
    </row>
    <row r="9" spans="1:21" x14ac:dyDescent="0.45">
      <c r="A9" t="s">
        <v>67</v>
      </c>
      <c r="B9" t="s">
        <v>63</v>
      </c>
      <c r="C9" t="s">
        <v>64</v>
      </c>
      <c r="D9" t="s">
        <v>24</v>
      </c>
      <c r="E9" t="s">
        <v>68</v>
      </c>
      <c r="F9" t="s">
        <v>26</v>
      </c>
      <c r="G9" t="s">
        <v>27</v>
      </c>
      <c r="H9">
        <v>30430</v>
      </c>
      <c r="I9">
        <v>29999</v>
      </c>
      <c r="J9" t="s">
        <v>38</v>
      </c>
      <c r="K9">
        <v>50000</v>
      </c>
      <c r="L9">
        <v>4592</v>
      </c>
      <c r="M9">
        <v>469</v>
      </c>
      <c r="N9">
        <v>0.1021</v>
      </c>
      <c r="O9">
        <v>107</v>
      </c>
      <c r="P9">
        <v>13757174</v>
      </c>
      <c r="Q9">
        <v>85</v>
      </c>
      <c r="R9">
        <v>87</v>
      </c>
      <c r="S9" t="s">
        <v>69</v>
      </c>
      <c r="T9" t="s">
        <v>70</v>
      </c>
      <c r="U9" t="s">
        <v>31</v>
      </c>
    </row>
    <row r="10" spans="1:21" x14ac:dyDescent="0.45">
      <c r="A10" t="s">
        <v>71</v>
      </c>
      <c r="B10" t="s">
        <v>72</v>
      </c>
      <c r="C10" t="s">
        <v>43</v>
      </c>
      <c r="D10" t="s">
        <v>24</v>
      </c>
      <c r="E10" t="s">
        <v>68</v>
      </c>
      <c r="F10" t="s">
        <v>36</v>
      </c>
      <c r="G10" t="s">
        <v>37</v>
      </c>
      <c r="H10">
        <v>842</v>
      </c>
      <c r="I10">
        <v>799</v>
      </c>
      <c r="J10" t="s">
        <v>47</v>
      </c>
      <c r="K10">
        <v>200000</v>
      </c>
      <c r="L10">
        <v>4021</v>
      </c>
      <c r="M10">
        <v>241</v>
      </c>
      <c r="N10">
        <v>5.9900000000000002E-2</v>
      </c>
      <c r="O10">
        <v>830</v>
      </c>
      <c r="P10">
        <v>237862</v>
      </c>
      <c r="Q10">
        <v>71</v>
      </c>
      <c r="R10">
        <v>72</v>
      </c>
      <c r="S10" t="s">
        <v>69</v>
      </c>
      <c r="T10" t="s">
        <v>30</v>
      </c>
      <c r="U10" t="s">
        <v>31</v>
      </c>
    </row>
    <row r="11" spans="1:21" x14ac:dyDescent="0.45">
      <c r="A11" t="s">
        <v>73</v>
      </c>
      <c r="B11" t="s">
        <v>74</v>
      </c>
      <c r="C11" t="s">
        <v>43</v>
      </c>
      <c r="D11" t="s">
        <v>75</v>
      </c>
      <c r="E11" t="s">
        <v>25</v>
      </c>
      <c r="F11" t="s">
        <v>59</v>
      </c>
      <c r="G11" t="s">
        <v>55</v>
      </c>
      <c r="H11">
        <v>21547</v>
      </c>
      <c r="I11">
        <v>19999</v>
      </c>
      <c r="J11" t="s">
        <v>76</v>
      </c>
      <c r="K11">
        <v>200000</v>
      </c>
      <c r="L11">
        <v>4853</v>
      </c>
      <c r="M11">
        <v>447</v>
      </c>
      <c r="N11">
        <v>9.2100000000000001E-2</v>
      </c>
      <c r="O11">
        <v>447</v>
      </c>
      <c r="P11">
        <v>9919650</v>
      </c>
      <c r="Q11">
        <v>86</v>
      </c>
      <c r="R11">
        <v>51</v>
      </c>
      <c r="S11" t="s">
        <v>29</v>
      </c>
      <c r="T11" t="s">
        <v>40</v>
      </c>
      <c r="U11" t="s">
        <v>31</v>
      </c>
    </row>
    <row r="12" spans="1:21" x14ac:dyDescent="0.45">
      <c r="A12" t="s">
        <v>77</v>
      </c>
      <c r="B12" t="s">
        <v>42</v>
      </c>
      <c r="C12" t="s">
        <v>43</v>
      </c>
      <c r="D12" t="s">
        <v>65</v>
      </c>
      <c r="E12" t="s">
        <v>44</v>
      </c>
      <c r="F12" t="s">
        <v>59</v>
      </c>
      <c r="G12" t="s">
        <v>60</v>
      </c>
      <c r="H12">
        <v>2605</v>
      </c>
      <c r="I12">
        <v>2999</v>
      </c>
      <c r="J12" t="s">
        <v>38</v>
      </c>
      <c r="K12">
        <v>750000</v>
      </c>
      <c r="L12">
        <v>8156</v>
      </c>
      <c r="M12">
        <v>865</v>
      </c>
      <c r="N12">
        <v>0.1061</v>
      </c>
      <c r="O12">
        <v>867</v>
      </c>
      <c r="P12">
        <v>2693350</v>
      </c>
      <c r="Q12">
        <v>94</v>
      </c>
      <c r="R12">
        <v>82</v>
      </c>
      <c r="S12" t="s">
        <v>78</v>
      </c>
      <c r="T12" t="s">
        <v>30</v>
      </c>
      <c r="U12" t="s">
        <v>31</v>
      </c>
    </row>
    <row r="13" spans="1:21" x14ac:dyDescent="0.45">
      <c r="A13" t="s">
        <v>79</v>
      </c>
      <c r="B13" t="s">
        <v>72</v>
      </c>
      <c r="C13" t="s">
        <v>43</v>
      </c>
      <c r="D13" t="s">
        <v>24</v>
      </c>
      <c r="E13" t="s">
        <v>44</v>
      </c>
      <c r="F13" t="s">
        <v>36</v>
      </c>
      <c r="G13" t="s">
        <v>55</v>
      </c>
      <c r="H13">
        <v>670</v>
      </c>
      <c r="I13">
        <v>799</v>
      </c>
      <c r="J13" t="s">
        <v>80</v>
      </c>
      <c r="K13">
        <v>350000</v>
      </c>
      <c r="L13">
        <v>5788</v>
      </c>
      <c r="M13">
        <v>605</v>
      </c>
      <c r="N13">
        <v>0.1045</v>
      </c>
      <c r="O13">
        <v>579</v>
      </c>
      <c r="P13">
        <v>619151</v>
      </c>
      <c r="Q13">
        <v>82</v>
      </c>
      <c r="R13">
        <v>53</v>
      </c>
      <c r="S13" t="s">
        <v>29</v>
      </c>
      <c r="T13" t="s">
        <v>40</v>
      </c>
      <c r="U13" t="s">
        <v>31</v>
      </c>
    </row>
    <row r="14" spans="1:21" x14ac:dyDescent="0.45">
      <c r="A14" t="s">
        <v>81</v>
      </c>
      <c r="B14" t="s">
        <v>82</v>
      </c>
      <c r="C14" t="s">
        <v>64</v>
      </c>
      <c r="D14" t="s">
        <v>65</v>
      </c>
      <c r="E14" t="s">
        <v>35</v>
      </c>
      <c r="F14" t="s">
        <v>36</v>
      </c>
      <c r="G14" t="s">
        <v>60</v>
      </c>
      <c r="H14">
        <v>5114</v>
      </c>
      <c r="I14">
        <v>4999</v>
      </c>
      <c r="J14" t="s">
        <v>80</v>
      </c>
      <c r="K14">
        <v>750000</v>
      </c>
      <c r="L14">
        <v>2738</v>
      </c>
      <c r="M14">
        <v>280</v>
      </c>
      <c r="N14">
        <v>0.1023</v>
      </c>
      <c r="O14">
        <v>2679</v>
      </c>
      <c r="P14">
        <v>1811045</v>
      </c>
      <c r="Q14">
        <v>57</v>
      </c>
      <c r="R14">
        <v>81</v>
      </c>
      <c r="S14" t="s">
        <v>29</v>
      </c>
      <c r="T14" t="s">
        <v>30</v>
      </c>
      <c r="U14" t="s">
        <v>31</v>
      </c>
    </row>
    <row r="15" spans="1:21" x14ac:dyDescent="0.45">
      <c r="A15" t="s">
        <v>83</v>
      </c>
      <c r="B15" t="s">
        <v>84</v>
      </c>
      <c r="C15" t="s">
        <v>64</v>
      </c>
      <c r="D15" t="s">
        <v>52</v>
      </c>
      <c r="E15" t="s">
        <v>25</v>
      </c>
      <c r="F15" t="s">
        <v>36</v>
      </c>
      <c r="G15" t="s">
        <v>37</v>
      </c>
      <c r="H15">
        <v>10868</v>
      </c>
      <c r="I15">
        <v>9999</v>
      </c>
      <c r="J15" t="s">
        <v>56</v>
      </c>
      <c r="K15">
        <v>50000</v>
      </c>
      <c r="L15">
        <v>1633</v>
      </c>
      <c r="M15">
        <v>56</v>
      </c>
      <c r="N15">
        <v>3.4299999999999997E-2</v>
      </c>
      <c r="O15">
        <v>893</v>
      </c>
      <c r="P15">
        <v>632032</v>
      </c>
      <c r="Q15">
        <v>49</v>
      </c>
      <c r="R15">
        <v>84</v>
      </c>
      <c r="S15" t="s">
        <v>69</v>
      </c>
      <c r="T15" t="s">
        <v>30</v>
      </c>
      <c r="U15" t="s">
        <v>31</v>
      </c>
    </row>
    <row r="16" spans="1:21" x14ac:dyDescent="0.45">
      <c r="A16" t="s">
        <v>85</v>
      </c>
      <c r="B16" t="s">
        <v>33</v>
      </c>
      <c r="C16" t="s">
        <v>23</v>
      </c>
      <c r="D16" t="s">
        <v>65</v>
      </c>
      <c r="E16" t="s">
        <v>35</v>
      </c>
      <c r="F16" t="s">
        <v>36</v>
      </c>
      <c r="G16" t="s">
        <v>60</v>
      </c>
      <c r="H16">
        <v>3232</v>
      </c>
      <c r="I16">
        <v>2999</v>
      </c>
      <c r="J16" t="s">
        <v>61</v>
      </c>
      <c r="K16">
        <v>750000</v>
      </c>
      <c r="L16">
        <v>763</v>
      </c>
      <c r="M16">
        <v>21</v>
      </c>
      <c r="N16">
        <v>2.75E-2</v>
      </c>
      <c r="O16">
        <v>35714</v>
      </c>
      <c r="P16">
        <v>82387</v>
      </c>
      <c r="Q16">
        <v>62</v>
      </c>
      <c r="R16">
        <v>47</v>
      </c>
      <c r="S16" t="s">
        <v>48</v>
      </c>
      <c r="T16" t="s">
        <v>40</v>
      </c>
      <c r="U16" t="s">
        <v>31</v>
      </c>
    </row>
    <row r="17" spans="1:21" x14ac:dyDescent="0.45">
      <c r="A17" t="s">
        <v>86</v>
      </c>
      <c r="B17" t="s">
        <v>87</v>
      </c>
      <c r="C17" t="s">
        <v>51</v>
      </c>
      <c r="D17" t="s">
        <v>75</v>
      </c>
      <c r="E17" t="s">
        <v>35</v>
      </c>
      <c r="F17" t="s">
        <v>59</v>
      </c>
      <c r="G17" t="s">
        <v>55</v>
      </c>
      <c r="H17">
        <v>950</v>
      </c>
      <c r="I17">
        <v>799</v>
      </c>
      <c r="J17" t="s">
        <v>56</v>
      </c>
      <c r="K17">
        <v>500000</v>
      </c>
      <c r="L17">
        <v>5445</v>
      </c>
      <c r="M17">
        <v>750</v>
      </c>
      <c r="N17">
        <v>0.13769999999999999</v>
      </c>
      <c r="O17">
        <v>667</v>
      </c>
      <c r="P17">
        <v>717309</v>
      </c>
      <c r="Q17">
        <v>86</v>
      </c>
      <c r="R17">
        <v>51</v>
      </c>
      <c r="S17" t="s">
        <v>69</v>
      </c>
      <c r="T17" t="s">
        <v>40</v>
      </c>
      <c r="U17" t="s">
        <v>31</v>
      </c>
    </row>
    <row r="18" spans="1:21" x14ac:dyDescent="0.45">
      <c r="A18" t="s">
        <v>88</v>
      </c>
      <c r="B18" t="s">
        <v>82</v>
      </c>
      <c r="C18" t="s">
        <v>64</v>
      </c>
      <c r="D18" t="s">
        <v>24</v>
      </c>
      <c r="E18" t="s">
        <v>53</v>
      </c>
      <c r="F18" t="s">
        <v>36</v>
      </c>
      <c r="G18" t="s">
        <v>37</v>
      </c>
      <c r="H18">
        <v>9632</v>
      </c>
      <c r="I18">
        <v>9999</v>
      </c>
      <c r="J18" t="s">
        <v>47</v>
      </c>
      <c r="K18">
        <v>200000</v>
      </c>
      <c r="L18">
        <v>5171</v>
      </c>
      <c r="M18">
        <v>321</v>
      </c>
      <c r="N18">
        <v>6.2100000000000002E-2</v>
      </c>
      <c r="O18">
        <v>623</v>
      </c>
      <c r="P18">
        <v>3140485</v>
      </c>
      <c r="Q18">
        <v>56</v>
      </c>
      <c r="R18">
        <v>70</v>
      </c>
      <c r="S18" t="s">
        <v>69</v>
      </c>
      <c r="T18" t="s">
        <v>30</v>
      </c>
      <c r="U18" t="s">
        <v>31</v>
      </c>
    </row>
    <row r="19" spans="1:21" x14ac:dyDescent="0.45">
      <c r="A19" t="s">
        <v>89</v>
      </c>
      <c r="B19" t="s">
        <v>74</v>
      </c>
      <c r="C19" t="s">
        <v>43</v>
      </c>
      <c r="D19" t="s">
        <v>75</v>
      </c>
      <c r="E19" t="s">
        <v>68</v>
      </c>
      <c r="F19" t="s">
        <v>54</v>
      </c>
      <c r="G19" t="s">
        <v>37</v>
      </c>
      <c r="H19">
        <v>3510</v>
      </c>
      <c r="I19">
        <v>2999</v>
      </c>
      <c r="J19" t="s">
        <v>61</v>
      </c>
      <c r="K19">
        <v>350000</v>
      </c>
      <c r="L19">
        <v>2502</v>
      </c>
      <c r="M19">
        <v>227</v>
      </c>
      <c r="N19">
        <v>9.0700000000000003E-2</v>
      </c>
      <c r="O19">
        <v>1542</v>
      </c>
      <c r="P19">
        <v>948329</v>
      </c>
      <c r="Q19">
        <v>46</v>
      </c>
      <c r="R19">
        <v>91</v>
      </c>
      <c r="S19" t="s">
        <v>39</v>
      </c>
      <c r="T19" t="s">
        <v>30</v>
      </c>
      <c r="U19" t="s">
        <v>31</v>
      </c>
    </row>
    <row r="20" spans="1:21" x14ac:dyDescent="0.45">
      <c r="A20" t="s">
        <v>90</v>
      </c>
      <c r="B20" t="s">
        <v>50</v>
      </c>
      <c r="C20" t="s">
        <v>51</v>
      </c>
      <c r="D20" t="s">
        <v>65</v>
      </c>
      <c r="E20" t="s">
        <v>53</v>
      </c>
      <c r="F20" t="s">
        <v>54</v>
      </c>
      <c r="G20" t="s">
        <v>60</v>
      </c>
      <c r="H20">
        <v>1632</v>
      </c>
      <c r="I20">
        <v>1499</v>
      </c>
      <c r="J20" t="s">
        <v>76</v>
      </c>
      <c r="K20">
        <v>750000</v>
      </c>
      <c r="L20">
        <v>1528</v>
      </c>
      <c r="M20">
        <v>63</v>
      </c>
      <c r="N20">
        <v>4.1200000000000001E-2</v>
      </c>
      <c r="O20">
        <v>11905</v>
      </c>
      <c r="P20">
        <v>117295</v>
      </c>
      <c r="Q20">
        <v>71</v>
      </c>
      <c r="R20">
        <v>43</v>
      </c>
      <c r="S20" t="s">
        <v>69</v>
      </c>
      <c r="T20" t="s">
        <v>40</v>
      </c>
      <c r="U20" t="s">
        <v>31</v>
      </c>
    </row>
    <row r="21" spans="1:21" x14ac:dyDescent="0.45">
      <c r="A21" t="s">
        <v>91</v>
      </c>
      <c r="B21" t="s">
        <v>92</v>
      </c>
      <c r="C21" t="s">
        <v>51</v>
      </c>
      <c r="D21" t="s">
        <v>34</v>
      </c>
      <c r="E21" t="s">
        <v>25</v>
      </c>
      <c r="F21" t="s">
        <v>59</v>
      </c>
      <c r="G21" t="s">
        <v>27</v>
      </c>
      <c r="H21">
        <v>5121</v>
      </c>
      <c r="I21">
        <v>4999</v>
      </c>
      <c r="J21" t="s">
        <v>76</v>
      </c>
      <c r="K21">
        <v>200000</v>
      </c>
      <c r="L21">
        <v>3243</v>
      </c>
      <c r="M21">
        <v>288</v>
      </c>
      <c r="N21">
        <v>8.8800000000000004E-2</v>
      </c>
      <c r="O21">
        <v>694</v>
      </c>
      <c r="P21">
        <v>1626942</v>
      </c>
      <c r="Q21">
        <v>59</v>
      </c>
      <c r="R21">
        <v>96</v>
      </c>
      <c r="S21" t="s">
        <v>29</v>
      </c>
      <c r="T21" t="s">
        <v>30</v>
      </c>
      <c r="U21" t="s">
        <v>31</v>
      </c>
    </row>
    <row r="22" spans="1:21" x14ac:dyDescent="0.45">
      <c r="A22" t="s">
        <v>93</v>
      </c>
      <c r="B22" t="s">
        <v>74</v>
      </c>
      <c r="C22" t="s">
        <v>43</v>
      </c>
      <c r="D22" t="s">
        <v>52</v>
      </c>
      <c r="E22" t="s">
        <v>53</v>
      </c>
      <c r="F22" t="s">
        <v>45</v>
      </c>
      <c r="G22" t="s">
        <v>37</v>
      </c>
      <c r="H22">
        <v>1394</v>
      </c>
      <c r="I22">
        <v>1499</v>
      </c>
      <c r="J22" t="s">
        <v>47</v>
      </c>
      <c r="K22">
        <v>50000</v>
      </c>
      <c r="L22">
        <v>429</v>
      </c>
      <c r="M22">
        <v>52</v>
      </c>
      <c r="N22">
        <v>0.1212</v>
      </c>
      <c r="O22">
        <v>962</v>
      </c>
      <c r="P22">
        <v>87074</v>
      </c>
      <c r="Q22">
        <v>47</v>
      </c>
      <c r="R22">
        <v>64</v>
      </c>
      <c r="S22" t="s">
        <v>29</v>
      </c>
      <c r="T22" t="s">
        <v>66</v>
      </c>
      <c r="U22" t="s">
        <v>31</v>
      </c>
    </row>
    <row r="23" spans="1:21" x14ac:dyDescent="0.45">
      <c r="A23" t="s">
        <v>94</v>
      </c>
      <c r="B23" t="s">
        <v>33</v>
      </c>
      <c r="C23" t="s">
        <v>23</v>
      </c>
      <c r="D23" t="s">
        <v>52</v>
      </c>
      <c r="E23" t="s">
        <v>25</v>
      </c>
      <c r="F23" t="s">
        <v>54</v>
      </c>
      <c r="G23" t="s">
        <v>60</v>
      </c>
      <c r="H23">
        <v>2777</v>
      </c>
      <c r="I23">
        <v>2999</v>
      </c>
      <c r="J23" t="s">
        <v>76</v>
      </c>
      <c r="K23">
        <v>50000</v>
      </c>
      <c r="L23">
        <v>3758</v>
      </c>
      <c r="M23">
        <v>268</v>
      </c>
      <c r="N23">
        <v>7.1300000000000002E-2</v>
      </c>
      <c r="O23">
        <v>187</v>
      </c>
      <c r="P23">
        <v>904162</v>
      </c>
      <c r="Q23">
        <v>91</v>
      </c>
      <c r="R23">
        <v>62</v>
      </c>
      <c r="S23" t="s">
        <v>48</v>
      </c>
      <c r="T23" t="s">
        <v>66</v>
      </c>
      <c r="U23" t="s">
        <v>31</v>
      </c>
    </row>
    <row r="24" spans="1:21" x14ac:dyDescent="0.45">
      <c r="A24" t="s">
        <v>95</v>
      </c>
      <c r="B24" t="s">
        <v>92</v>
      </c>
      <c r="C24" t="s">
        <v>51</v>
      </c>
      <c r="D24" t="s">
        <v>24</v>
      </c>
      <c r="E24" t="s">
        <v>68</v>
      </c>
      <c r="F24" t="s">
        <v>59</v>
      </c>
      <c r="G24" t="s">
        <v>37</v>
      </c>
      <c r="H24">
        <v>21372</v>
      </c>
      <c r="I24">
        <v>19999</v>
      </c>
      <c r="J24" t="s">
        <v>28</v>
      </c>
      <c r="K24">
        <v>500000</v>
      </c>
      <c r="L24">
        <v>3990</v>
      </c>
      <c r="M24">
        <v>432</v>
      </c>
      <c r="N24">
        <v>0.10829999999999999</v>
      </c>
      <c r="O24">
        <v>1157</v>
      </c>
      <c r="P24">
        <v>9267989</v>
      </c>
      <c r="Q24">
        <v>95</v>
      </c>
      <c r="R24">
        <v>90</v>
      </c>
      <c r="S24" t="s">
        <v>78</v>
      </c>
      <c r="T24" t="s">
        <v>70</v>
      </c>
      <c r="U24" t="s">
        <v>31</v>
      </c>
    </row>
    <row r="25" spans="1:21" x14ac:dyDescent="0.45">
      <c r="A25" t="s">
        <v>96</v>
      </c>
      <c r="B25" t="s">
        <v>87</v>
      </c>
      <c r="C25" t="s">
        <v>51</v>
      </c>
      <c r="D25" t="s">
        <v>52</v>
      </c>
      <c r="E25" t="s">
        <v>68</v>
      </c>
      <c r="F25" t="s">
        <v>45</v>
      </c>
      <c r="G25" t="s">
        <v>60</v>
      </c>
      <c r="H25">
        <v>9228</v>
      </c>
      <c r="I25">
        <v>9999</v>
      </c>
      <c r="J25" t="s">
        <v>38</v>
      </c>
      <c r="K25">
        <v>50000</v>
      </c>
      <c r="L25">
        <v>6195</v>
      </c>
      <c r="M25">
        <v>470</v>
      </c>
      <c r="N25">
        <v>7.5899999999999995E-2</v>
      </c>
      <c r="O25">
        <v>106</v>
      </c>
      <c r="P25">
        <v>4440276</v>
      </c>
      <c r="Q25">
        <v>81</v>
      </c>
      <c r="R25">
        <v>74</v>
      </c>
      <c r="S25" t="s">
        <v>48</v>
      </c>
      <c r="T25" t="s">
        <v>30</v>
      </c>
      <c r="U25" t="s">
        <v>31</v>
      </c>
    </row>
    <row r="26" spans="1:21" x14ac:dyDescent="0.45">
      <c r="A26" t="s">
        <v>97</v>
      </c>
      <c r="B26" t="s">
        <v>72</v>
      </c>
      <c r="C26" t="s">
        <v>43</v>
      </c>
      <c r="D26" t="s">
        <v>24</v>
      </c>
      <c r="E26" t="s">
        <v>44</v>
      </c>
      <c r="F26" t="s">
        <v>45</v>
      </c>
      <c r="G26" t="s">
        <v>60</v>
      </c>
      <c r="H26">
        <v>10922</v>
      </c>
      <c r="I26">
        <v>9999</v>
      </c>
      <c r="J26" t="s">
        <v>38</v>
      </c>
      <c r="K26">
        <v>750000</v>
      </c>
      <c r="L26">
        <v>8846</v>
      </c>
      <c r="M26">
        <v>697</v>
      </c>
      <c r="N26">
        <v>7.8799999999999995E-2</v>
      </c>
      <c r="O26">
        <v>1076</v>
      </c>
      <c r="P26">
        <v>6934833</v>
      </c>
      <c r="Q26">
        <v>60</v>
      </c>
      <c r="R26">
        <v>70</v>
      </c>
      <c r="S26" t="s">
        <v>29</v>
      </c>
      <c r="T26" t="s">
        <v>30</v>
      </c>
      <c r="U26" t="s">
        <v>31</v>
      </c>
    </row>
    <row r="27" spans="1:21" x14ac:dyDescent="0.45">
      <c r="A27" t="s">
        <v>98</v>
      </c>
      <c r="B27" t="s">
        <v>74</v>
      </c>
      <c r="C27" t="s">
        <v>43</v>
      </c>
      <c r="D27" t="s">
        <v>24</v>
      </c>
      <c r="E27" t="s">
        <v>44</v>
      </c>
      <c r="F27" t="s">
        <v>54</v>
      </c>
      <c r="G27" t="s">
        <v>37</v>
      </c>
      <c r="H27">
        <v>3465</v>
      </c>
      <c r="I27">
        <v>2999</v>
      </c>
      <c r="J27" t="s">
        <v>76</v>
      </c>
      <c r="K27">
        <v>200000</v>
      </c>
      <c r="L27">
        <v>4774</v>
      </c>
      <c r="M27">
        <v>151</v>
      </c>
      <c r="N27">
        <v>3.1600000000000003E-2</v>
      </c>
      <c r="O27">
        <v>1325</v>
      </c>
      <c r="P27">
        <v>468461</v>
      </c>
      <c r="Q27">
        <v>95</v>
      </c>
      <c r="R27">
        <v>66</v>
      </c>
      <c r="S27" t="s">
        <v>29</v>
      </c>
      <c r="T27" t="s">
        <v>66</v>
      </c>
      <c r="U27" t="s">
        <v>31</v>
      </c>
    </row>
    <row r="28" spans="1:21" x14ac:dyDescent="0.45">
      <c r="A28" t="s">
        <v>99</v>
      </c>
      <c r="B28" t="s">
        <v>92</v>
      </c>
      <c r="C28" t="s">
        <v>51</v>
      </c>
      <c r="D28" t="s">
        <v>24</v>
      </c>
      <c r="E28" t="s">
        <v>25</v>
      </c>
      <c r="F28" t="s">
        <v>54</v>
      </c>
      <c r="G28" t="s">
        <v>55</v>
      </c>
      <c r="H28">
        <v>5271</v>
      </c>
      <c r="I28">
        <v>4999</v>
      </c>
      <c r="J28" t="s">
        <v>56</v>
      </c>
      <c r="K28">
        <v>750000</v>
      </c>
      <c r="L28">
        <v>2668</v>
      </c>
      <c r="M28">
        <v>350</v>
      </c>
      <c r="N28">
        <v>0.13120000000000001</v>
      </c>
      <c r="O28">
        <v>2143</v>
      </c>
      <c r="P28">
        <v>1834315</v>
      </c>
      <c r="Q28">
        <v>92</v>
      </c>
      <c r="R28">
        <v>63</v>
      </c>
      <c r="S28" t="s">
        <v>78</v>
      </c>
      <c r="T28" t="s">
        <v>66</v>
      </c>
      <c r="U28" t="s">
        <v>31</v>
      </c>
    </row>
    <row r="29" spans="1:21" x14ac:dyDescent="0.45">
      <c r="A29" t="s">
        <v>100</v>
      </c>
      <c r="B29" t="s">
        <v>63</v>
      </c>
      <c r="C29" t="s">
        <v>64</v>
      </c>
      <c r="D29" t="s">
        <v>52</v>
      </c>
      <c r="E29" t="s">
        <v>44</v>
      </c>
      <c r="F29" t="s">
        <v>45</v>
      </c>
      <c r="G29" t="s">
        <v>37</v>
      </c>
      <c r="H29">
        <v>26653</v>
      </c>
      <c r="I29">
        <v>29999</v>
      </c>
      <c r="J29" t="s">
        <v>61</v>
      </c>
      <c r="K29">
        <v>350000</v>
      </c>
      <c r="L29">
        <v>2119</v>
      </c>
      <c r="M29">
        <v>65</v>
      </c>
      <c r="N29">
        <v>3.0700000000000002E-2</v>
      </c>
      <c r="O29">
        <v>5385</v>
      </c>
      <c r="P29">
        <v>2659383</v>
      </c>
      <c r="Q29">
        <v>86</v>
      </c>
      <c r="R29">
        <v>67</v>
      </c>
      <c r="S29" t="s">
        <v>29</v>
      </c>
      <c r="T29" t="s">
        <v>66</v>
      </c>
      <c r="U29" t="s">
        <v>31</v>
      </c>
    </row>
    <row r="30" spans="1:21" x14ac:dyDescent="0.45">
      <c r="A30" t="s">
        <v>101</v>
      </c>
      <c r="B30" t="s">
        <v>58</v>
      </c>
      <c r="C30" t="s">
        <v>23</v>
      </c>
      <c r="D30" t="s">
        <v>75</v>
      </c>
      <c r="E30" t="s">
        <v>68</v>
      </c>
      <c r="F30" t="s">
        <v>26</v>
      </c>
      <c r="G30" t="s">
        <v>60</v>
      </c>
      <c r="H30">
        <v>3610</v>
      </c>
      <c r="I30">
        <v>2999</v>
      </c>
      <c r="J30" t="s">
        <v>47</v>
      </c>
      <c r="K30">
        <v>750000</v>
      </c>
      <c r="L30">
        <v>2669</v>
      </c>
      <c r="M30">
        <v>139</v>
      </c>
      <c r="N30">
        <v>5.21E-2</v>
      </c>
      <c r="O30">
        <v>5396</v>
      </c>
      <c r="P30">
        <v>392283</v>
      </c>
      <c r="Q30">
        <v>60</v>
      </c>
      <c r="R30">
        <v>66</v>
      </c>
      <c r="S30" t="s">
        <v>48</v>
      </c>
      <c r="T30" t="s">
        <v>66</v>
      </c>
      <c r="U30" t="s">
        <v>31</v>
      </c>
    </row>
    <row r="31" spans="1:21" x14ac:dyDescent="0.45">
      <c r="A31" t="s">
        <v>102</v>
      </c>
      <c r="B31" t="s">
        <v>22</v>
      </c>
      <c r="C31" t="s">
        <v>23</v>
      </c>
      <c r="D31" t="s">
        <v>24</v>
      </c>
      <c r="E31" t="s">
        <v>35</v>
      </c>
      <c r="F31" t="s">
        <v>45</v>
      </c>
      <c r="G31" t="s">
        <v>103</v>
      </c>
      <c r="H31">
        <v>10921</v>
      </c>
      <c r="I31">
        <v>9999</v>
      </c>
      <c r="J31" t="s">
        <v>28</v>
      </c>
      <c r="K31">
        <v>50000</v>
      </c>
      <c r="L31">
        <v>5137</v>
      </c>
      <c r="M31">
        <v>680</v>
      </c>
      <c r="N31">
        <v>0.13239999999999999</v>
      </c>
      <c r="O31">
        <v>74</v>
      </c>
      <c r="P31">
        <v>6954599</v>
      </c>
      <c r="Q31">
        <v>81</v>
      </c>
      <c r="R31">
        <v>92</v>
      </c>
      <c r="S31" t="s">
        <v>39</v>
      </c>
      <c r="T31" t="s">
        <v>70</v>
      </c>
      <c r="U31" t="s">
        <v>31</v>
      </c>
    </row>
    <row r="32" spans="1:21" x14ac:dyDescent="0.45">
      <c r="A32" t="s">
        <v>104</v>
      </c>
      <c r="B32" t="s">
        <v>63</v>
      </c>
      <c r="C32" t="s">
        <v>64</v>
      </c>
      <c r="D32" t="s">
        <v>65</v>
      </c>
      <c r="E32" t="s">
        <v>44</v>
      </c>
      <c r="F32" t="s">
        <v>59</v>
      </c>
      <c r="G32" t="s">
        <v>27</v>
      </c>
      <c r="H32">
        <v>856</v>
      </c>
      <c r="I32">
        <v>799</v>
      </c>
      <c r="J32" t="s">
        <v>47</v>
      </c>
      <c r="K32">
        <v>200000</v>
      </c>
      <c r="L32">
        <v>3263</v>
      </c>
      <c r="M32">
        <v>169</v>
      </c>
      <c r="N32">
        <v>5.1799999999999999E-2</v>
      </c>
      <c r="O32">
        <v>1183</v>
      </c>
      <c r="P32">
        <v>176877</v>
      </c>
      <c r="Q32">
        <v>78</v>
      </c>
      <c r="R32">
        <v>81</v>
      </c>
      <c r="S32" t="s">
        <v>48</v>
      </c>
      <c r="T32" t="s">
        <v>30</v>
      </c>
      <c r="U32" t="s">
        <v>31</v>
      </c>
    </row>
    <row r="33" spans="1:21" x14ac:dyDescent="0.45">
      <c r="A33" t="s">
        <v>105</v>
      </c>
      <c r="B33" t="s">
        <v>82</v>
      </c>
      <c r="C33" t="s">
        <v>64</v>
      </c>
      <c r="D33" t="s">
        <v>34</v>
      </c>
      <c r="E33" t="s">
        <v>35</v>
      </c>
      <c r="F33" t="s">
        <v>54</v>
      </c>
      <c r="G33" t="s">
        <v>55</v>
      </c>
      <c r="H33">
        <v>10823</v>
      </c>
      <c r="I33">
        <v>9999</v>
      </c>
      <c r="J33" t="s">
        <v>38</v>
      </c>
      <c r="K33">
        <v>200000</v>
      </c>
      <c r="L33">
        <v>6561</v>
      </c>
      <c r="M33">
        <v>814</v>
      </c>
      <c r="N33">
        <v>0.1241</v>
      </c>
      <c r="O33">
        <v>246</v>
      </c>
      <c r="P33">
        <v>7923452</v>
      </c>
      <c r="Q33">
        <v>87</v>
      </c>
      <c r="R33">
        <v>60</v>
      </c>
      <c r="S33" t="s">
        <v>29</v>
      </c>
      <c r="T33" t="s">
        <v>66</v>
      </c>
      <c r="U33" t="s">
        <v>31</v>
      </c>
    </row>
    <row r="34" spans="1:21" x14ac:dyDescent="0.45">
      <c r="A34" t="s">
        <v>106</v>
      </c>
      <c r="B34" t="s">
        <v>87</v>
      </c>
      <c r="C34" t="s">
        <v>51</v>
      </c>
      <c r="D34" t="s">
        <v>24</v>
      </c>
      <c r="E34" t="s">
        <v>53</v>
      </c>
      <c r="F34" t="s">
        <v>59</v>
      </c>
      <c r="G34" t="s">
        <v>103</v>
      </c>
      <c r="H34">
        <v>26468</v>
      </c>
      <c r="I34">
        <v>29999</v>
      </c>
      <c r="J34" t="s">
        <v>56</v>
      </c>
      <c r="K34">
        <v>500000</v>
      </c>
      <c r="L34">
        <v>8759</v>
      </c>
      <c r="M34">
        <v>803</v>
      </c>
      <c r="N34">
        <v>9.1700000000000004E-2</v>
      </c>
      <c r="O34">
        <v>623</v>
      </c>
      <c r="P34">
        <v>29852021</v>
      </c>
      <c r="Q34">
        <v>53</v>
      </c>
      <c r="R34">
        <v>49</v>
      </c>
      <c r="S34" t="s">
        <v>39</v>
      </c>
      <c r="T34" t="s">
        <v>40</v>
      </c>
      <c r="U34" t="s">
        <v>31</v>
      </c>
    </row>
    <row r="35" spans="1:21" x14ac:dyDescent="0.45">
      <c r="A35" t="s">
        <v>107</v>
      </c>
      <c r="B35" t="s">
        <v>84</v>
      </c>
      <c r="C35" t="s">
        <v>64</v>
      </c>
      <c r="D35" t="s">
        <v>75</v>
      </c>
      <c r="E35" t="s">
        <v>35</v>
      </c>
      <c r="F35" t="s">
        <v>59</v>
      </c>
      <c r="G35" t="s">
        <v>103</v>
      </c>
      <c r="H35">
        <v>27142</v>
      </c>
      <c r="I35">
        <v>29999</v>
      </c>
      <c r="J35" t="s">
        <v>80</v>
      </c>
      <c r="K35">
        <v>500000</v>
      </c>
      <c r="L35">
        <v>7690</v>
      </c>
      <c r="M35">
        <v>630</v>
      </c>
      <c r="N35">
        <v>8.1900000000000001E-2</v>
      </c>
      <c r="O35">
        <v>794</v>
      </c>
      <c r="P35">
        <v>26078693</v>
      </c>
      <c r="Q35">
        <v>71</v>
      </c>
      <c r="R35">
        <v>58</v>
      </c>
      <c r="S35" t="s">
        <v>39</v>
      </c>
      <c r="T35" t="s">
        <v>66</v>
      </c>
      <c r="U35" t="s">
        <v>31</v>
      </c>
    </row>
    <row r="36" spans="1:21" x14ac:dyDescent="0.45">
      <c r="A36" t="s">
        <v>108</v>
      </c>
      <c r="B36" t="s">
        <v>74</v>
      </c>
      <c r="C36" t="s">
        <v>43</v>
      </c>
      <c r="D36" t="s">
        <v>34</v>
      </c>
      <c r="E36" t="s">
        <v>44</v>
      </c>
      <c r="F36" t="s">
        <v>36</v>
      </c>
      <c r="G36" t="s">
        <v>103</v>
      </c>
      <c r="H36">
        <v>2724</v>
      </c>
      <c r="I36">
        <v>2999</v>
      </c>
      <c r="J36" t="s">
        <v>47</v>
      </c>
      <c r="K36">
        <v>750000</v>
      </c>
      <c r="L36">
        <v>3053</v>
      </c>
      <c r="M36">
        <v>397</v>
      </c>
      <c r="N36">
        <v>0.13</v>
      </c>
      <c r="O36">
        <v>1889</v>
      </c>
      <c r="P36">
        <v>1082801</v>
      </c>
      <c r="Q36">
        <v>49</v>
      </c>
      <c r="R36">
        <v>80</v>
      </c>
      <c r="S36" t="s">
        <v>69</v>
      </c>
      <c r="T36" t="s">
        <v>30</v>
      </c>
      <c r="U36" t="s">
        <v>31</v>
      </c>
    </row>
    <row r="37" spans="1:21" x14ac:dyDescent="0.45">
      <c r="A37" t="s">
        <v>109</v>
      </c>
      <c r="B37" t="s">
        <v>50</v>
      </c>
      <c r="C37" t="s">
        <v>51</v>
      </c>
      <c r="D37" t="s">
        <v>75</v>
      </c>
      <c r="E37" t="s">
        <v>35</v>
      </c>
      <c r="F37" t="s">
        <v>45</v>
      </c>
      <c r="G37" t="s">
        <v>60</v>
      </c>
      <c r="H37">
        <v>2956</v>
      </c>
      <c r="I37">
        <v>2999</v>
      </c>
      <c r="J37" t="s">
        <v>28</v>
      </c>
      <c r="K37">
        <v>750000</v>
      </c>
      <c r="L37">
        <v>3792</v>
      </c>
      <c r="M37">
        <v>234</v>
      </c>
      <c r="N37">
        <v>6.1699999999999998E-2</v>
      </c>
      <c r="O37">
        <v>3205</v>
      </c>
      <c r="P37">
        <v>670881</v>
      </c>
      <c r="Q37">
        <v>45</v>
      </c>
      <c r="R37">
        <v>86</v>
      </c>
      <c r="S37" t="s">
        <v>69</v>
      </c>
      <c r="T37" t="s">
        <v>30</v>
      </c>
      <c r="U37" t="s">
        <v>31</v>
      </c>
    </row>
    <row r="38" spans="1:21" x14ac:dyDescent="0.45">
      <c r="A38" t="s">
        <v>110</v>
      </c>
      <c r="B38" t="s">
        <v>33</v>
      </c>
      <c r="C38" t="s">
        <v>23</v>
      </c>
      <c r="D38" t="s">
        <v>75</v>
      </c>
      <c r="E38" t="s">
        <v>53</v>
      </c>
      <c r="F38" t="s">
        <v>36</v>
      </c>
      <c r="G38" t="s">
        <v>27</v>
      </c>
      <c r="H38">
        <v>2574</v>
      </c>
      <c r="I38">
        <v>2999</v>
      </c>
      <c r="J38" t="s">
        <v>47</v>
      </c>
      <c r="K38">
        <v>750000</v>
      </c>
      <c r="L38">
        <v>3453</v>
      </c>
      <c r="M38">
        <v>447</v>
      </c>
      <c r="N38">
        <v>0.1295</v>
      </c>
      <c r="O38">
        <v>1678</v>
      </c>
      <c r="P38">
        <v>1514675</v>
      </c>
      <c r="Q38">
        <v>50</v>
      </c>
      <c r="R38">
        <v>96</v>
      </c>
      <c r="S38" t="s">
        <v>69</v>
      </c>
      <c r="T38" t="s">
        <v>30</v>
      </c>
      <c r="U38" t="s">
        <v>31</v>
      </c>
    </row>
    <row r="39" spans="1:21" x14ac:dyDescent="0.45">
      <c r="A39" t="s">
        <v>111</v>
      </c>
      <c r="B39" t="s">
        <v>74</v>
      </c>
      <c r="C39" t="s">
        <v>43</v>
      </c>
      <c r="D39" t="s">
        <v>24</v>
      </c>
      <c r="E39" t="s">
        <v>68</v>
      </c>
      <c r="F39" t="s">
        <v>26</v>
      </c>
      <c r="G39" t="s">
        <v>37</v>
      </c>
      <c r="H39">
        <v>18445</v>
      </c>
      <c r="I39">
        <v>19999</v>
      </c>
      <c r="J39" t="s">
        <v>28</v>
      </c>
      <c r="K39">
        <v>100000</v>
      </c>
      <c r="L39">
        <v>1324</v>
      </c>
      <c r="M39">
        <v>163</v>
      </c>
      <c r="N39">
        <v>0.1231</v>
      </c>
      <c r="O39">
        <v>613</v>
      </c>
      <c r="P39">
        <v>4100324</v>
      </c>
      <c r="Q39">
        <v>49</v>
      </c>
      <c r="R39">
        <v>50</v>
      </c>
      <c r="S39" t="s">
        <v>29</v>
      </c>
      <c r="T39" t="s">
        <v>40</v>
      </c>
      <c r="U39" t="s">
        <v>31</v>
      </c>
    </row>
    <row r="40" spans="1:21" x14ac:dyDescent="0.45">
      <c r="A40" t="s">
        <v>112</v>
      </c>
      <c r="B40" t="s">
        <v>92</v>
      </c>
      <c r="C40" t="s">
        <v>51</v>
      </c>
      <c r="D40" t="s">
        <v>24</v>
      </c>
      <c r="E40" t="s">
        <v>53</v>
      </c>
      <c r="F40" t="s">
        <v>54</v>
      </c>
      <c r="G40" t="s">
        <v>103</v>
      </c>
      <c r="H40">
        <v>24025</v>
      </c>
      <c r="I40">
        <v>19999</v>
      </c>
      <c r="J40" t="s">
        <v>76</v>
      </c>
      <c r="K40">
        <v>500000</v>
      </c>
      <c r="L40">
        <v>3869</v>
      </c>
      <c r="M40">
        <v>157</v>
      </c>
      <c r="N40">
        <v>4.0599999999999997E-2</v>
      </c>
      <c r="O40">
        <v>3185</v>
      </c>
      <c r="P40">
        <v>3922919</v>
      </c>
      <c r="Q40">
        <v>67</v>
      </c>
      <c r="R40">
        <v>97</v>
      </c>
      <c r="S40" t="s">
        <v>48</v>
      </c>
      <c r="T40" t="s">
        <v>30</v>
      </c>
      <c r="U40" t="s">
        <v>31</v>
      </c>
    </row>
    <row r="41" spans="1:21" x14ac:dyDescent="0.45">
      <c r="A41" t="s">
        <v>113</v>
      </c>
      <c r="B41" t="s">
        <v>50</v>
      </c>
      <c r="C41" t="s">
        <v>51</v>
      </c>
      <c r="D41" t="s">
        <v>52</v>
      </c>
      <c r="E41" t="s">
        <v>35</v>
      </c>
      <c r="F41" t="s">
        <v>26</v>
      </c>
      <c r="G41" t="s">
        <v>60</v>
      </c>
      <c r="H41">
        <v>6059</v>
      </c>
      <c r="I41">
        <v>4999</v>
      </c>
      <c r="J41" t="s">
        <v>56</v>
      </c>
      <c r="K41">
        <v>100000</v>
      </c>
      <c r="L41">
        <v>2004</v>
      </c>
      <c r="M41">
        <v>186</v>
      </c>
      <c r="N41">
        <v>9.2799999999999994E-2</v>
      </c>
      <c r="O41">
        <v>538</v>
      </c>
      <c r="P41">
        <v>1005364</v>
      </c>
      <c r="Q41">
        <v>87</v>
      </c>
      <c r="R41">
        <v>77</v>
      </c>
      <c r="S41" t="s">
        <v>39</v>
      </c>
      <c r="T41" t="s">
        <v>30</v>
      </c>
      <c r="U41" t="s">
        <v>31</v>
      </c>
    </row>
    <row r="42" spans="1:21" x14ac:dyDescent="0.45">
      <c r="A42" t="s">
        <v>114</v>
      </c>
      <c r="B42" t="s">
        <v>63</v>
      </c>
      <c r="C42" t="s">
        <v>64</v>
      </c>
      <c r="D42" t="s">
        <v>75</v>
      </c>
      <c r="E42" t="s">
        <v>25</v>
      </c>
      <c r="F42" t="s">
        <v>36</v>
      </c>
      <c r="G42" t="s">
        <v>103</v>
      </c>
      <c r="H42">
        <v>697</v>
      </c>
      <c r="I42">
        <v>799</v>
      </c>
      <c r="J42" t="s">
        <v>56</v>
      </c>
      <c r="K42">
        <v>50000</v>
      </c>
      <c r="L42">
        <v>3155</v>
      </c>
      <c r="M42">
        <v>188</v>
      </c>
      <c r="N42">
        <v>5.96E-2</v>
      </c>
      <c r="O42">
        <v>266</v>
      </c>
      <c r="P42">
        <v>137575</v>
      </c>
      <c r="Q42">
        <v>54</v>
      </c>
      <c r="R42">
        <v>88</v>
      </c>
      <c r="S42" t="s">
        <v>69</v>
      </c>
      <c r="T42" t="s">
        <v>30</v>
      </c>
      <c r="U42" t="s">
        <v>31</v>
      </c>
    </row>
    <row r="43" spans="1:21" x14ac:dyDescent="0.45">
      <c r="A43" t="s">
        <v>115</v>
      </c>
      <c r="B43" t="s">
        <v>42</v>
      </c>
      <c r="C43" t="s">
        <v>43</v>
      </c>
      <c r="D43" t="s">
        <v>75</v>
      </c>
      <c r="E43" t="s">
        <v>53</v>
      </c>
      <c r="F43" t="s">
        <v>26</v>
      </c>
      <c r="G43" t="s">
        <v>55</v>
      </c>
      <c r="H43">
        <v>29397</v>
      </c>
      <c r="I43">
        <v>29999</v>
      </c>
      <c r="J43" t="s">
        <v>38</v>
      </c>
      <c r="K43">
        <v>500000</v>
      </c>
      <c r="L43">
        <v>7245</v>
      </c>
      <c r="M43">
        <v>973</v>
      </c>
      <c r="N43">
        <v>0.1343</v>
      </c>
      <c r="O43">
        <v>514</v>
      </c>
      <c r="P43">
        <v>33473854</v>
      </c>
      <c r="Q43">
        <v>75</v>
      </c>
      <c r="R43">
        <v>86</v>
      </c>
      <c r="S43" t="s">
        <v>69</v>
      </c>
      <c r="T43" t="s">
        <v>70</v>
      </c>
      <c r="U43" t="s">
        <v>31</v>
      </c>
    </row>
    <row r="44" spans="1:21" x14ac:dyDescent="0.45">
      <c r="A44" t="s">
        <v>116</v>
      </c>
      <c r="B44" t="s">
        <v>63</v>
      </c>
      <c r="C44" t="s">
        <v>64</v>
      </c>
      <c r="D44" t="s">
        <v>34</v>
      </c>
      <c r="E44" t="s">
        <v>35</v>
      </c>
      <c r="F44" t="s">
        <v>45</v>
      </c>
      <c r="G44" t="s">
        <v>27</v>
      </c>
      <c r="H44">
        <v>3070</v>
      </c>
      <c r="I44">
        <v>2999</v>
      </c>
      <c r="J44" t="s">
        <v>61</v>
      </c>
      <c r="K44">
        <v>350000</v>
      </c>
      <c r="L44">
        <v>3717</v>
      </c>
      <c r="M44">
        <v>487</v>
      </c>
      <c r="N44">
        <v>0.13100000000000001</v>
      </c>
      <c r="O44">
        <v>719</v>
      </c>
      <c r="P44">
        <v>1680533</v>
      </c>
      <c r="Q44">
        <v>57</v>
      </c>
      <c r="R44">
        <v>68</v>
      </c>
      <c r="S44" t="s">
        <v>29</v>
      </c>
      <c r="T44" t="s">
        <v>66</v>
      </c>
      <c r="U44" t="s">
        <v>31</v>
      </c>
    </row>
    <row r="45" spans="1:21" x14ac:dyDescent="0.45">
      <c r="A45" t="s">
        <v>117</v>
      </c>
      <c r="B45" t="s">
        <v>87</v>
      </c>
      <c r="C45" t="s">
        <v>51</v>
      </c>
      <c r="D45" t="s">
        <v>52</v>
      </c>
      <c r="E45" t="s">
        <v>25</v>
      </c>
      <c r="F45" t="s">
        <v>26</v>
      </c>
      <c r="G45" t="s">
        <v>37</v>
      </c>
      <c r="H45">
        <v>686</v>
      </c>
      <c r="I45">
        <v>799</v>
      </c>
      <c r="J45" t="s">
        <v>28</v>
      </c>
      <c r="K45">
        <v>350000</v>
      </c>
      <c r="L45">
        <v>895</v>
      </c>
      <c r="M45">
        <v>112</v>
      </c>
      <c r="N45">
        <v>0.12509999999999999</v>
      </c>
      <c r="O45">
        <v>3125</v>
      </c>
      <c r="P45">
        <v>107349</v>
      </c>
      <c r="Q45">
        <v>79</v>
      </c>
      <c r="R45">
        <v>58</v>
      </c>
      <c r="S45" t="s">
        <v>78</v>
      </c>
      <c r="T45" t="s">
        <v>66</v>
      </c>
      <c r="U45" t="s">
        <v>31</v>
      </c>
    </row>
    <row r="46" spans="1:21" x14ac:dyDescent="0.45">
      <c r="A46" t="s">
        <v>118</v>
      </c>
      <c r="B46" t="s">
        <v>92</v>
      </c>
      <c r="C46" t="s">
        <v>51</v>
      </c>
      <c r="D46" t="s">
        <v>34</v>
      </c>
      <c r="E46" t="s">
        <v>68</v>
      </c>
      <c r="F46" t="s">
        <v>59</v>
      </c>
      <c r="G46" t="s">
        <v>55</v>
      </c>
      <c r="H46">
        <v>1424</v>
      </c>
      <c r="I46">
        <v>1499</v>
      </c>
      <c r="J46" t="s">
        <v>28</v>
      </c>
      <c r="K46">
        <v>350000</v>
      </c>
      <c r="L46">
        <v>5132</v>
      </c>
      <c r="M46">
        <v>217</v>
      </c>
      <c r="N46">
        <v>4.2299999999999997E-2</v>
      </c>
      <c r="O46">
        <v>1613</v>
      </c>
      <c r="P46">
        <v>301691</v>
      </c>
      <c r="Q46">
        <v>69</v>
      </c>
      <c r="R46">
        <v>69</v>
      </c>
      <c r="S46" t="s">
        <v>69</v>
      </c>
      <c r="T46" t="s">
        <v>66</v>
      </c>
      <c r="U46" t="s">
        <v>31</v>
      </c>
    </row>
    <row r="47" spans="1:21" x14ac:dyDescent="0.45">
      <c r="A47" t="s">
        <v>119</v>
      </c>
      <c r="B47" t="s">
        <v>92</v>
      </c>
      <c r="C47" t="s">
        <v>51</v>
      </c>
      <c r="D47" t="s">
        <v>52</v>
      </c>
      <c r="E47" t="s">
        <v>35</v>
      </c>
      <c r="F47" t="s">
        <v>36</v>
      </c>
      <c r="G47" t="s">
        <v>103</v>
      </c>
      <c r="H47">
        <v>11208</v>
      </c>
      <c r="I47">
        <v>9999</v>
      </c>
      <c r="J47" t="s">
        <v>61</v>
      </c>
      <c r="K47">
        <v>750000</v>
      </c>
      <c r="L47">
        <v>1395</v>
      </c>
      <c r="M47">
        <v>191</v>
      </c>
      <c r="N47">
        <v>0.13689999999999999</v>
      </c>
      <c r="O47">
        <v>3927</v>
      </c>
      <c r="P47">
        <v>1921950</v>
      </c>
      <c r="Q47">
        <v>50</v>
      </c>
      <c r="R47">
        <v>78</v>
      </c>
      <c r="S47" t="s">
        <v>69</v>
      </c>
      <c r="T47" t="s">
        <v>30</v>
      </c>
      <c r="U47" t="s">
        <v>31</v>
      </c>
    </row>
    <row r="48" spans="1:21" x14ac:dyDescent="0.45">
      <c r="A48" t="s">
        <v>120</v>
      </c>
      <c r="B48" t="s">
        <v>58</v>
      </c>
      <c r="C48" t="s">
        <v>23</v>
      </c>
      <c r="D48" t="s">
        <v>65</v>
      </c>
      <c r="E48" t="s">
        <v>25</v>
      </c>
      <c r="F48" t="s">
        <v>45</v>
      </c>
      <c r="G48" t="s">
        <v>37</v>
      </c>
      <c r="H48">
        <v>21976</v>
      </c>
      <c r="I48">
        <v>19999</v>
      </c>
      <c r="J48" t="s">
        <v>56</v>
      </c>
      <c r="K48">
        <v>100000</v>
      </c>
      <c r="L48">
        <v>3404</v>
      </c>
      <c r="M48">
        <v>468</v>
      </c>
      <c r="N48">
        <v>0.13750000000000001</v>
      </c>
      <c r="O48">
        <v>214</v>
      </c>
      <c r="P48">
        <v>10872139</v>
      </c>
      <c r="Q48">
        <v>86</v>
      </c>
      <c r="R48">
        <v>66</v>
      </c>
      <c r="S48" t="s">
        <v>78</v>
      </c>
      <c r="T48" t="s">
        <v>66</v>
      </c>
      <c r="U48" t="s">
        <v>31</v>
      </c>
    </row>
    <row r="49" spans="1:21" x14ac:dyDescent="0.45">
      <c r="A49" t="s">
        <v>121</v>
      </c>
      <c r="B49" t="s">
        <v>92</v>
      </c>
      <c r="C49" t="s">
        <v>51</v>
      </c>
      <c r="D49" t="s">
        <v>65</v>
      </c>
      <c r="E49" t="s">
        <v>44</v>
      </c>
      <c r="F49" t="s">
        <v>26</v>
      </c>
      <c r="G49" t="s">
        <v>103</v>
      </c>
      <c r="H49">
        <v>5461</v>
      </c>
      <c r="I49">
        <v>4999</v>
      </c>
      <c r="J49" t="s">
        <v>47</v>
      </c>
      <c r="K49">
        <v>100000</v>
      </c>
      <c r="L49">
        <v>3742</v>
      </c>
      <c r="M49">
        <v>196</v>
      </c>
      <c r="N49">
        <v>5.2400000000000002E-2</v>
      </c>
      <c r="O49">
        <v>510</v>
      </c>
      <c r="P49">
        <v>1319443</v>
      </c>
      <c r="Q49">
        <v>47</v>
      </c>
      <c r="R49">
        <v>50</v>
      </c>
      <c r="S49" t="s">
        <v>78</v>
      </c>
      <c r="T49" t="s">
        <v>40</v>
      </c>
      <c r="U49" t="s">
        <v>31</v>
      </c>
    </row>
    <row r="50" spans="1:21" x14ac:dyDescent="0.45">
      <c r="A50" t="s">
        <v>122</v>
      </c>
      <c r="B50" t="s">
        <v>22</v>
      </c>
      <c r="C50" t="s">
        <v>23</v>
      </c>
      <c r="D50" t="s">
        <v>52</v>
      </c>
      <c r="E50" t="s">
        <v>25</v>
      </c>
      <c r="F50" t="s">
        <v>45</v>
      </c>
      <c r="G50" t="s">
        <v>27</v>
      </c>
      <c r="H50">
        <v>25571</v>
      </c>
      <c r="I50">
        <v>29999</v>
      </c>
      <c r="J50" t="s">
        <v>61</v>
      </c>
      <c r="K50">
        <v>200000</v>
      </c>
      <c r="L50">
        <v>6555</v>
      </c>
      <c r="M50">
        <v>165</v>
      </c>
      <c r="N50">
        <v>2.52E-2</v>
      </c>
      <c r="O50">
        <v>1212</v>
      </c>
      <c r="P50">
        <v>5832350</v>
      </c>
      <c r="Q50">
        <v>52</v>
      </c>
      <c r="R50">
        <v>61</v>
      </c>
      <c r="S50" t="s">
        <v>48</v>
      </c>
      <c r="T50" t="s">
        <v>66</v>
      </c>
      <c r="U50" t="s">
        <v>31</v>
      </c>
    </row>
    <row r="51" spans="1:21" x14ac:dyDescent="0.45">
      <c r="A51" t="s">
        <v>123</v>
      </c>
      <c r="B51" t="s">
        <v>22</v>
      </c>
      <c r="C51" t="s">
        <v>23</v>
      </c>
      <c r="D51" t="s">
        <v>24</v>
      </c>
      <c r="E51" t="s">
        <v>44</v>
      </c>
      <c r="F51" t="s">
        <v>54</v>
      </c>
      <c r="G51" t="s">
        <v>37</v>
      </c>
      <c r="H51">
        <v>709</v>
      </c>
      <c r="I51">
        <v>799</v>
      </c>
      <c r="J51" t="s">
        <v>56</v>
      </c>
      <c r="K51">
        <v>100000</v>
      </c>
      <c r="L51">
        <v>2067</v>
      </c>
      <c r="M51">
        <v>213</v>
      </c>
      <c r="N51">
        <v>0.10299999999999999</v>
      </c>
      <c r="O51">
        <v>469</v>
      </c>
      <c r="P51">
        <v>224459</v>
      </c>
      <c r="Q51">
        <v>91</v>
      </c>
      <c r="R51">
        <v>97</v>
      </c>
      <c r="S51" t="s">
        <v>29</v>
      </c>
      <c r="T51" t="s">
        <v>70</v>
      </c>
      <c r="U51" t="s">
        <v>31</v>
      </c>
    </row>
    <row r="52" spans="1:21" x14ac:dyDescent="0.45">
      <c r="A52" t="s">
        <v>124</v>
      </c>
      <c r="B52" t="s">
        <v>22</v>
      </c>
      <c r="C52" t="s">
        <v>23</v>
      </c>
      <c r="D52" t="s">
        <v>24</v>
      </c>
      <c r="E52" t="s">
        <v>68</v>
      </c>
      <c r="F52" t="s">
        <v>36</v>
      </c>
      <c r="G52" t="s">
        <v>55</v>
      </c>
      <c r="H52">
        <v>789</v>
      </c>
      <c r="I52">
        <v>799</v>
      </c>
      <c r="J52" t="s">
        <v>80</v>
      </c>
      <c r="K52">
        <v>350000</v>
      </c>
      <c r="L52">
        <v>7404</v>
      </c>
      <c r="M52">
        <v>272</v>
      </c>
      <c r="N52">
        <v>3.6700000000000003E-2</v>
      </c>
      <c r="O52">
        <v>1287</v>
      </c>
      <c r="P52">
        <v>295357</v>
      </c>
      <c r="Q52">
        <v>86</v>
      </c>
      <c r="R52">
        <v>79</v>
      </c>
      <c r="S52" t="s">
        <v>78</v>
      </c>
      <c r="T52" t="s">
        <v>30</v>
      </c>
      <c r="U52" t="s">
        <v>31</v>
      </c>
    </row>
    <row r="53" spans="1:21" x14ac:dyDescent="0.45">
      <c r="A53" t="s">
        <v>125</v>
      </c>
      <c r="B53" t="s">
        <v>72</v>
      </c>
      <c r="C53" t="s">
        <v>43</v>
      </c>
      <c r="D53" t="s">
        <v>52</v>
      </c>
      <c r="E53" t="s">
        <v>44</v>
      </c>
      <c r="F53" t="s">
        <v>59</v>
      </c>
      <c r="G53" t="s">
        <v>37</v>
      </c>
      <c r="H53">
        <v>2858</v>
      </c>
      <c r="I53">
        <v>2999</v>
      </c>
      <c r="J53" t="s">
        <v>47</v>
      </c>
      <c r="K53">
        <v>750000</v>
      </c>
      <c r="L53">
        <v>4332</v>
      </c>
      <c r="M53">
        <v>362</v>
      </c>
      <c r="N53">
        <v>8.3599999999999994E-2</v>
      </c>
      <c r="O53">
        <v>2072</v>
      </c>
      <c r="P53">
        <v>1001007</v>
      </c>
      <c r="Q53">
        <v>89</v>
      </c>
      <c r="R53">
        <v>80</v>
      </c>
      <c r="S53" t="s">
        <v>39</v>
      </c>
      <c r="T53" t="s">
        <v>30</v>
      </c>
      <c r="U53" t="s">
        <v>31</v>
      </c>
    </row>
    <row r="54" spans="1:21" x14ac:dyDescent="0.45">
      <c r="A54" t="s">
        <v>126</v>
      </c>
      <c r="B54" t="s">
        <v>58</v>
      </c>
      <c r="C54" t="s">
        <v>23</v>
      </c>
      <c r="D54" t="s">
        <v>24</v>
      </c>
      <c r="E54" t="s">
        <v>68</v>
      </c>
      <c r="F54" t="s">
        <v>59</v>
      </c>
      <c r="G54" t="s">
        <v>103</v>
      </c>
      <c r="H54">
        <v>2816</v>
      </c>
      <c r="I54">
        <v>2999</v>
      </c>
      <c r="J54" t="s">
        <v>56</v>
      </c>
      <c r="K54">
        <v>750000</v>
      </c>
      <c r="L54">
        <v>7558</v>
      </c>
      <c r="M54">
        <v>273</v>
      </c>
      <c r="N54">
        <v>3.61E-2</v>
      </c>
      <c r="O54">
        <v>2747</v>
      </c>
      <c r="P54">
        <v>1010742</v>
      </c>
      <c r="Q54">
        <v>78</v>
      </c>
      <c r="R54">
        <v>80</v>
      </c>
      <c r="S54" t="s">
        <v>78</v>
      </c>
      <c r="T54" t="s">
        <v>30</v>
      </c>
      <c r="U54" t="s">
        <v>31</v>
      </c>
    </row>
    <row r="55" spans="1:21" x14ac:dyDescent="0.45">
      <c r="A55" t="s">
        <v>127</v>
      </c>
      <c r="B55" t="s">
        <v>33</v>
      </c>
      <c r="C55" t="s">
        <v>23</v>
      </c>
      <c r="D55" t="s">
        <v>34</v>
      </c>
      <c r="E55" t="s">
        <v>68</v>
      </c>
      <c r="F55" t="s">
        <v>45</v>
      </c>
      <c r="G55" t="s">
        <v>55</v>
      </c>
      <c r="H55">
        <v>27164</v>
      </c>
      <c r="I55">
        <v>29999</v>
      </c>
      <c r="J55" t="s">
        <v>76</v>
      </c>
      <c r="K55">
        <v>350000</v>
      </c>
      <c r="L55">
        <v>2120</v>
      </c>
      <c r="M55">
        <v>290</v>
      </c>
      <c r="N55">
        <v>0.1368</v>
      </c>
      <c r="O55">
        <v>1207</v>
      </c>
      <c r="P55">
        <v>10874845</v>
      </c>
      <c r="Q55">
        <v>80</v>
      </c>
      <c r="R55">
        <v>88</v>
      </c>
      <c r="S55" t="s">
        <v>29</v>
      </c>
      <c r="T55" t="s">
        <v>70</v>
      </c>
      <c r="U55" t="s">
        <v>31</v>
      </c>
    </row>
    <row r="56" spans="1:21" x14ac:dyDescent="0.45">
      <c r="A56" t="s">
        <v>128</v>
      </c>
      <c r="B56" t="s">
        <v>42</v>
      </c>
      <c r="C56" t="s">
        <v>43</v>
      </c>
      <c r="D56" t="s">
        <v>34</v>
      </c>
      <c r="E56" t="s">
        <v>35</v>
      </c>
      <c r="F56" t="s">
        <v>26</v>
      </c>
      <c r="G56" t="s">
        <v>37</v>
      </c>
      <c r="H56">
        <v>32524</v>
      </c>
      <c r="I56">
        <v>29999</v>
      </c>
      <c r="J56" t="s">
        <v>61</v>
      </c>
      <c r="K56">
        <v>50000</v>
      </c>
      <c r="L56">
        <v>6549</v>
      </c>
      <c r="M56">
        <v>494</v>
      </c>
      <c r="N56">
        <v>7.5399999999999995E-2</v>
      </c>
      <c r="O56">
        <v>101</v>
      </c>
      <c r="P56">
        <v>19715011</v>
      </c>
      <c r="Q56">
        <v>95</v>
      </c>
      <c r="R56">
        <v>64</v>
      </c>
      <c r="S56" t="s">
        <v>69</v>
      </c>
      <c r="T56" t="s">
        <v>66</v>
      </c>
      <c r="U56" t="s">
        <v>31</v>
      </c>
    </row>
    <row r="57" spans="1:21" x14ac:dyDescent="0.45">
      <c r="A57" t="s">
        <v>129</v>
      </c>
      <c r="B57" t="s">
        <v>50</v>
      </c>
      <c r="C57" t="s">
        <v>51</v>
      </c>
      <c r="D57" t="s">
        <v>52</v>
      </c>
      <c r="E57" t="s">
        <v>68</v>
      </c>
      <c r="F57" t="s">
        <v>59</v>
      </c>
      <c r="G57" t="s">
        <v>55</v>
      </c>
      <c r="H57">
        <v>3098</v>
      </c>
      <c r="I57">
        <v>2999</v>
      </c>
      <c r="J57" t="s">
        <v>76</v>
      </c>
      <c r="K57">
        <v>750000</v>
      </c>
      <c r="L57">
        <v>753</v>
      </c>
      <c r="M57">
        <v>53</v>
      </c>
      <c r="N57">
        <v>7.0400000000000004E-2</v>
      </c>
      <c r="O57">
        <v>14151</v>
      </c>
      <c r="P57">
        <v>201091</v>
      </c>
      <c r="Q57">
        <v>50</v>
      </c>
      <c r="R57">
        <v>51</v>
      </c>
      <c r="S57" t="s">
        <v>39</v>
      </c>
      <c r="T57" t="s">
        <v>40</v>
      </c>
      <c r="U57" t="s">
        <v>31</v>
      </c>
    </row>
    <row r="58" spans="1:21" x14ac:dyDescent="0.45">
      <c r="A58" t="s">
        <v>130</v>
      </c>
      <c r="B58" t="s">
        <v>42</v>
      </c>
      <c r="C58" t="s">
        <v>43</v>
      </c>
      <c r="D58" t="s">
        <v>52</v>
      </c>
      <c r="E58" t="s">
        <v>53</v>
      </c>
      <c r="F58" t="s">
        <v>26</v>
      </c>
      <c r="G58" t="s">
        <v>60</v>
      </c>
      <c r="H58">
        <v>18405</v>
      </c>
      <c r="I58">
        <v>19999</v>
      </c>
      <c r="J58" t="s">
        <v>28</v>
      </c>
      <c r="K58">
        <v>500000</v>
      </c>
      <c r="L58">
        <v>8693</v>
      </c>
      <c r="M58">
        <v>715</v>
      </c>
      <c r="N58">
        <v>8.2299999999999998E-2</v>
      </c>
      <c r="O58">
        <v>699</v>
      </c>
      <c r="P58">
        <v>16579609</v>
      </c>
      <c r="Q58">
        <v>65</v>
      </c>
      <c r="R58">
        <v>73</v>
      </c>
      <c r="S58" t="s">
        <v>48</v>
      </c>
      <c r="T58" t="s">
        <v>30</v>
      </c>
      <c r="U58" t="s">
        <v>31</v>
      </c>
    </row>
    <row r="59" spans="1:21" x14ac:dyDescent="0.45">
      <c r="A59" t="s">
        <v>131</v>
      </c>
      <c r="B59" t="s">
        <v>87</v>
      </c>
      <c r="C59" t="s">
        <v>51</v>
      </c>
      <c r="D59" t="s">
        <v>65</v>
      </c>
      <c r="E59" t="s">
        <v>53</v>
      </c>
      <c r="F59" t="s">
        <v>59</v>
      </c>
      <c r="G59" t="s">
        <v>55</v>
      </c>
      <c r="H59">
        <v>4128</v>
      </c>
      <c r="I59">
        <v>4999</v>
      </c>
      <c r="J59" t="s">
        <v>76</v>
      </c>
      <c r="K59">
        <v>50000</v>
      </c>
      <c r="L59">
        <v>8607</v>
      </c>
      <c r="M59">
        <v>1160</v>
      </c>
      <c r="N59">
        <v>0.1348</v>
      </c>
      <c r="O59">
        <v>43</v>
      </c>
      <c r="P59">
        <v>6964906</v>
      </c>
      <c r="Q59">
        <v>70</v>
      </c>
      <c r="R59">
        <v>67</v>
      </c>
      <c r="S59" t="s">
        <v>69</v>
      </c>
      <c r="T59" t="s">
        <v>66</v>
      </c>
      <c r="U59" t="s">
        <v>31</v>
      </c>
    </row>
    <row r="60" spans="1:21" x14ac:dyDescent="0.45">
      <c r="A60" t="s">
        <v>132</v>
      </c>
      <c r="B60" t="s">
        <v>92</v>
      </c>
      <c r="C60" t="s">
        <v>51</v>
      </c>
      <c r="D60" t="s">
        <v>34</v>
      </c>
      <c r="E60" t="s">
        <v>44</v>
      </c>
      <c r="F60" t="s">
        <v>59</v>
      </c>
      <c r="G60" t="s">
        <v>103</v>
      </c>
      <c r="H60">
        <v>5063</v>
      </c>
      <c r="I60">
        <v>4999</v>
      </c>
      <c r="J60" t="s">
        <v>47</v>
      </c>
      <c r="K60">
        <v>500000</v>
      </c>
      <c r="L60">
        <v>5729</v>
      </c>
      <c r="M60">
        <v>481</v>
      </c>
      <c r="N60">
        <v>8.4000000000000005E-2</v>
      </c>
      <c r="O60">
        <v>1040</v>
      </c>
      <c r="P60">
        <v>3236383</v>
      </c>
      <c r="Q60">
        <v>76</v>
      </c>
      <c r="R60">
        <v>42</v>
      </c>
      <c r="S60" t="s">
        <v>39</v>
      </c>
      <c r="T60" t="s">
        <v>40</v>
      </c>
      <c r="U60" t="s">
        <v>31</v>
      </c>
    </row>
    <row r="61" spans="1:21" x14ac:dyDescent="0.45">
      <c r="A61" t="s">
        <v>133</v>
      </c>
      <c r="B61" t="s">
        <v>50</v>
      </c>
      <c r="C61" t="s">
        <v>51</v>
      </c>
      <c r="D61" t="s">
        <v>34</v>
      </c>
      <c r="E61" t="s">
        <v>44</v>
      </c>
      <c r="F61" t="s">
        <v>45</v>
      </c>
      <c r="G61" t="s">
        <v>103</v>
      </c>
      <c r="H61">
        <v>3213</v>
      </c>
      <c r="I61">
        <v>2999</v>
      </c>
      <c r="J61" t="s">
        <v>76</v>
      </c>
      <c r="K61">
        <v>50000</v>
      </c>
      <c r="L61">
        <v>2723</v>
      </c>
      <c r="M61">
        <v>169</v>
      </c>
      <c r="N61">
        <v>6.2100000000000002E-2</v>
      </c>
      <c r="O61">
        <v>296</v>
      </c>
      <c r="P61">
        <v>541286</v>
      </c>
      <c r="Q61">
        <v>79</v>
      </c>
      <c r="R61">
        <v>68</v>
      </c>
      <c r="S61" t="s">
        <v>29</v>
      </c>
      <c r="T61" t="s">
        <v>66</v>
      </c>
      <c r="U61" t="s">
        <v>31</v>
      </c>
    </row>
    <row r="62" spans="1:21" x14ac:dyDescent="0.45">
      <c r="A62" t="s">
        <v>134</v>
      </c>
      <c r="B62" t="s">
        <v>22</v>
      </c>
      <c r="C62" t="s">
        <v>23</v>
      </c>
      <c r="D62" t="s">
        <v>34</v>
      </c>
      <c r="E62" t="s">
        <v>25</v>
      </c>
      <c r="F62" t="s">
        <v>36</v>
      </c>
      <c r="G62" t="s">
        <v>55</v>
      </c>
      <c r="H62">
        <v>864</v>
      </c>
      <c r="I62">
        <v>799</v>
      </c>
      <c r="J62" t="s">
        <v>61</v>
      </c>
      <c r="K62">
        <v>750000</v>
      </c>
      <c r="L62">
        <v>2298</v>
      </c>
      <c r="M62">
        <v>155</v>
      </c>
      <c r="N62">
        <v>6.7400000000000002E-2</v>
      </c>
      <c r="O62">
        <v>4839</v>
      </c>
      <c r="P62">
        <v>129284</v>
      </c>
      <c r="Q62">
        <v>69</v>
      </c>
      <c r="R62">
        <v>44</v>
      </c>
      <c r="S62" t="s">
        <v>39</v>
      </c>
      <c r="T62" t="s">
        <v>40</v>
      </c>
      <c r="U62" t="s">
        <v>31</v>
      </c>
    </row>
    <row r="63" spans="1:21" x14ac:dyDescent="0.45">
      <c r="A63" t="s">
        <v>135</v>
      </c>
      <c r="B63" t="s">
        <v>74</v>
      </c>
      <c r="C63" t="s">
        <v>43</v>
      </c>
      <c r="D63" t="s">
        <v>65</v>
      </c>
      <c r="E63" t="s">
        <v>44</v>
      </c>
      <c r="F63" t="s">
        <v>54</v>
      </c>
      <c r="G63" t="s">
        <v>55</v>
      </c>
      <c r="H63">
        <v>32551</v>
      </c>
      <c r="I63">
        <v>29999</v>
      </c>
      <c r="J63" t="s">
        <v>76</v>
      </c>
      <c r="K63">
        <v>500000</v>
      </c>
      <c r="L63">
        <v>3374</v>
      </c>
      <c r="M63">
        <v>88</v>
      </c>
      <c r="N63">
        <v>2.6100000000000002E-2</v>
      </c>
      <c r="O63">
        <v>5682</v>
      </c>
      <c r="P63">
        <v>3668740</v>
      </c>
      <c r="Q63">
        <v>89</v>
      </c>
      <c r="R63">
        <v>46</v>
      </c>
      <c r="S63" t="s">
        <v>78</v>
      </c>
      <c r="T63" t="s">
        <v>40</v>
      </c>
      <c r="U63" t="s">
        <v>31</v>
      </c>
    </row>
    <row r="64" spans="1:21" x14ac:dyDescent="0.45">
      <c r="A64" t="s">
        <v>136</v>
      </c>
      <c r="B64" t="s">
        <v>63</v>
      </c>
      <c r="C64" t="s">
        <v>64</v>
      </c>
      <c r="D64" t="s">
        <v>75</v>
      </c>
      <c r="E64" t="s">
        <v>68</v>
      </c>
      <c r="F64" t="s">
        <v>45</v>
      </c>
      <c r="G64" t="s">
        <v>37</v>
      </c>
      <c r="H64">
        <v>4895</v>
      </c>
      <c r="I64">
        <v>4999</v>
      </c>
      <c r="J64" t="s">
        <v>56</v>
      </c>
      <c r="K64">
        <v>350000</v>
      </c>
      <c r="L64">
        <v>4248</v>
      </c>
      <c r="M64">
        <v>259</v>
      </c>
      <c r="N64">
        <v>6.0999999999999999E-2</v>
      </c>
      <c r="O64">
        <v>1351</v>
      </c>
      <c r="P64">
        <v>1775791</v>
      </c>
      <c r="Q64">
        <v>68</v>
      </c>
      <c r="R64">
        <v>96</v>
      </c>
      <c r="S64" t="s">
        <v>39</v>
      </c>
      <c r="T64" t="s">
        <v>30</v>
      </c>
      <c r="U64" t="s">
        <v>31</v>
      </c>
    </row>
    <row r="65" spans="1:21" x14ac:dyDescent="0.45">
      <c r="A65" t="s">
        <v>137</v>
      </c>
      <c r="B65" t="s">
        <v>84</v>
      </c>
      <c r="C65" t="s">
        <v>64</v>
      </c>
      <c r="D65" t="s">
        <v>52</v>
      </c>
      <c r="E65" t="s">
        <v>35</v>
      </c>
      <c r="F65" t="s">
        <v>54</v>
      </c>
      <c r="G65" t="s">
        <v>103</v>
      </c>
      <c r="H65">
        <v>3609</v>
      </c>
      <c r="I65">
        <v>2999</v>
      </c>
      <c r="J65" t="s">
        <v>38</v>
      </c>
      <c r="K65">
        <v>500000</v>
      </c>
      <c r="L65">
        <v>4106</v>
      </c>
      <c r="M65">
        <v>337</v>
      </c>
      <c r="N65">
        <v>8.2100000000000006E-2</v>
      </c>
      <c r="O65">
        <v>1484</v>
      </c>
      <c r="P65">
        <v>1076068</v>
      </c>
      <c r="Q65">
        <v>81</v>
      </c>
      <c r="R65">
        <v>93</v>
      </c>
      <c r="S65" t="s">
        <v>39</v>
      </c>
      <c r="T65" t="s">
        <v>70</v>
      </c>
      <c r="U65" t="s">
        <v>31</v>
      </c>
    </row>
    <row r="66" spans="1:21" x14ac:dyDescent="0.45">
      <c r="A66" t="s">
        <v>138</v>
      </c>
      <c r="B66" t="s">
        <v>42</v>
      </c>
      <c r="C66" t="s">
        <v>43</v>
      </c>
      <c r="D66" t="s">
        <v>75</v>
      </c>
      <c r="E66" t="s">
        <v>35</v>
      </c>
      <c r="F66" t="s">
        <v>59</v>
      </c>
      <c r="G66" t="s">
        <v>103</v>
      </c>
      <c r="H66">
        <v>3508</v>
      </c>
      <c r="I66">
        <v>2999</v>
      </c>
      <c r="J66" t="s">
        <v>47</v>
      </c>
      <c r="K66">
        <v>350000</v>
      </c>
      <c r="L66">
        <v>3279</v>
      </c>
      <c r="M66">
        <v>365</v>
      </c>
      <c r="N66">
        <v>0.1113</v>
      </c>
      <c r="O66">
        <v>959</v>
      </c>
      <c r="P66">
        <v>1338189</v>
      </c>
      <c r="Q66">
        <v>87</v>
      </c>
      <c r="R66">
        <v>45</v>
      </c>
      <c r="S66" t="s">
        <v>78</v>
      </c>
      <c r="T66" t="s">
        <v>40</v>
      </c>
      <c r="U66" t="s">
        <v>31</v>
      </c>
    </row>
    <row r="67" spans="1:21" x14ac:dyDescent="0.45">
      <c r="A67" t="s">
        <v>139</v>
      </c>
      <c r="B67" t="s">
        <v>87</v>
      </c>
      <c r="C67" t="s">
        <v>51</v>
      </c>
      <c r="D67" t="s">
        <v>65</v>
      </c>
      <c r="E67" t="s">
        <v>35</v>
      </c>
      <c r="F67" t="s">
        <v>26</v>
      </c>
      <c r="G67" t="s">
        <v>37</v>
      </c>
      <c r="H67">
        <v>8894</v>
      </c>
      <c r="I67">
        <v>9999</v>
      </c>
      <c r="J67" t="s">
        <v>76</v>
      </c>
      <c r="K67">
        <v>750000</v>
      </c>
      <c r="L67">
        <v>6001</v>
      </c>
      <c r="M67">
        <v>307</v>
      </c>
      <c r="N67">
        <v>5.1200000000000002E-2</v>
      </c>
      <c r="O67">
        <v>2443</v>
      </c>
      <c r="P67">
        <v>3888334</v>
      </c>
      <c r="Q67">
        <v>86</v>
      </c>
      <c r="R67">
        <v>78</v>
      </c>
      <c r="S67" t="s">
        <v>39</v>
      </c>
      <c r="T67" t="s">
        <v>30</v>
      </c>
      <c r="U67" t="s">
        <v>31</v>
      </c>
    </row>
    <row r="68" spans="1:21" x14ac:dyDescent="0.45">
      <c r="A68" t="s">
        <v>140</v>
      </c>
      <c r="B68" t="s">
        <v>87</v>
      </c>
      <c r="C68" t="s">
        <v>51</v>
      </c>
      <c r="D68" t="s">
        <v>65</v>
      </c>
      <c r="E68" t="s">
        <v>53</v>
      </c>
      <c r="F68" t="s">
        <v>26</v>
      </c>
      <c r="G68" t="s">
        <v>37</v>
      </c>
      <c r="H68">
        <v>1752</v>
      </c>
      <c r="I68">
        <v>1499</v>
      </c>
      <c r="J68" t="s">
        <v>38</v>
      </c>
      <c r="K68">
        <v>200000</v>
      </c>
      <c r="L68">
        <v>8823</v>
      </c>
      <c r="M68">
        <v>964</v>
      </c>
      <c r="N68">
        <v>0.10929999999999999</v>
      </c>
      <c r="O68">
        <v>207</v>
      </c>
      <c r="P68">
        <v>1357024</v>
      </c>
      <c r="Q68">
        <v>91</v>
      </c>
      <c r="R68">
        <v>55</v>
      </c>
      <c r="S68" t="s">
        <v>39</v>
      </c>
      <c r="T68" t="s">
        <v>66</v>
      </c>
      <c r="U68" t="s">
        <v>31</v>
      </c>
    </row>
    <row r="69" spans="1:21" x14ac:dyDescent="0.45">
      <c r="A69" t="s">
        <v>141</v>
      </c>
      <c r="B69" t="s">
        <v>82</v>
      </c>
      <c r="C69" t="s">
        <v>64</v>
      </c>
      <c r="D69" t="s">
        <v>75</v>
      </c>
      <c r="E69" t="s">
        <v>53</v>
      </c>
      <c r="F69" t="s">
        <v>26</v>
      </c>
      <c r="G69" t="s">
        <v>103</v>
      </c>
      <c r="H69">
        <v>703</v>
      </c>
      <c r="I69">
        <v>799</v>
      </c>
      <c r="J69" t="s">
        <v>61</v>
      </c>
      <c r="K69">
        <v>750000</v>
      </c>
      <c r="L69">
        <v>528</v>
      </c>
      <c r="M69">
        <v>42</v>
      </c>
      <c r="N69">
        <v>7.9500000000000001E-2</v>
      </c>
      <c r="O69">
        <v>17857</v>
      </c>
      <c r="P69">
        <v>32773</v>
      </c>
      <c r="Q69">
        <v>80</v>
      </c>
      <c r="R69">
        <v>86</v>
      </c>
      <c r="S69" t="s">
        <v>78</v>
      </c>
      <c r="T69" t="s">
        <v>70</v>
      </c>
      <c r="U69" t="s">
        <v>31</v>
      </c>
    </row>
    <row r="70" spans="1:21" x14ac:dyDescent="0.45">
      <c r="A70" t="s">
        <v>142</v>
      </c>
      <c r="B70" t="s">
        <v>33</v>
      </c>
      <c r="C70" t="s">
        <v>23</v>
      </c>
      <c r="D70" t="s">
        <v>65</v>
      </c>
      <c r="E70" t="s">
        <v>68</v>
      </c>
      <c r="F70" t="s">
        <v>59</v>
      </c>
      <c r="G70" t="s">
        <v>60</v>
      </c>
      <c r="H70">
        <v>3390</v>
      </c>
      <c r="I70">
        <v>2999</v>
      </c>
      <c r="J70" t="s">
        <v>38</v>
      </c>
      <c r="K70">
        <v>100000</v>
      </c>
      <c r="L70">
        <v>4458</v>
      </c>
      <c r="M70">
        <v>432</v>
      </c>
      <c r="N70">
        <v>9.69E-2</v>
      </c>
      <c r="O70">
        <v>231</v>
      </c>
      <c r="P70">
        <v>1210903</v>
      </c>
      <c r="Q70">
        <v>84</v>
      </c>
      <c r="R70">
        <v>72</v>
      </c>
      <c r="S70" t="s">
        <v>78</v>
      </c>
      <c r="T70" t="s">
        <v>30</v>
      </c>
      <c r="U70" t="s">
        <v>31</v>
      </c>
    </row>
    <row r="71" spans="1:21" x14ac:dyDescent="0.45">
      <c r="A71" t="s">
        <v>143</v>
      </c>
      <c r="B71" t="s">
        <v>82</v>
      </c>
      <c r="C71" t="s">
        <v>64</v>
      </c>
      <c r="D71" t="s">
        <v>52</v>
      </c>
      <c r="E71" t="s">
        <v>68</v>
      </c>
      <c r="F71" t="s">
        <v>45</v>
      </c>
      <c r="G71" t="s">
        <v>103</v>
      </c>
      <c r="H71">
        <v>1575</v>
      </c>
      <c r="I71">
        <v>1499</v>
      </c>
      <c r="J71" t="s">
        <v>28</v>
      </c>
      <c r="K71">
        <v>350000</v>
      </c>
      <c r="L71">
        <v>1087</v>
      </c>
      <c r="M71">
        <v>148</v>
      </c>
      <c r="N71">
        <v>0.13619999999999999</v>
      </c>
      <c r="O71">
        <v>2365</v>
      </c>
      <c r="P71">
        <v>217710</v>
      </c>
      <c r="Q71">
        <v>57</v>
      </c>
      <c r="R71">
        <v>46</v>
      </c>
      <c r="S71" t="s">
        <v>39</v>
      </c>
      <c r="T71" t="s">
        <v>40</v>
      </c>
      <c r="U71" t="s">
        <v>31</v>
      </c>
    </row>
    <row r="72" spans="1:21" x14ac:dyDescent="0.45">
      <c r="A72" t="s">
        <v>144</v>
      </c>
      <c r="B72" t="s">
        <v>87</v>
      </c>
      <c r="C72" t="s">
        <v>51</v>
      </c>
      <c r="D72" t="s">
        <v>52</v>
      </c>
      <c r="E72" t="s">
        <v>44</v>
      </c>
      <c r="F72" t="s">
        <v>26</v>
      </c>
      <c r="G72" t="s">
        <v>103</v>
      </c>
      <c r="H72">
        <v>23771</v>
      </c>
      <c r="I72">
        <v>19999</v>
      </c>
      <c r="J72" t="s">
        <v>76</v>
      </c>
      <c r="K72">
        <v>350000</v>
      </c>
      <c r="L72">
        <v>4075</v>
      </c>
      <c r="M72">
        <v>445</v>
      </c>
      <c r="N72">
        <v>0.10920000000000001</v>
      </c>
      <c r="O72">
        <v>787</v>
      </c>
      <c r="P72">
        <v>10901836</v>
      </c>
      <c r="Q72">
        <v>68</v>
      </c>
      <c r="R72">
        <v>48</v>
      </c>
      <c r="S72" t="s">
        <v>29</v>
      </c>
      <c r="T72" t="s">
        <v>40</v>
      </c>
      <c r="U72" t="s">
        <v>31</v>
      </c>
    </row>
    <row r="73" spans="1:21" x14ac:dyDescent="0.45">
      <c r="A73" t="s">
        <v>145</v>
      </c>
      <c r="B73" t="s">
        <v>58</v>
      </c>
      <c r="C73" t="s">
        <v>23</v>
      </c>
      <c r="D73" t="s">
        <v>34</v>
      </c>
      <c r="E73" t="s">
        <v>35</v>
      </c>
      <c r="F73" t="s">
        <v>26</v>
      </c>
      <c r="G73" t="s">
        <v>27</v>
      </c>
      <c r="H73">
        <v>664</v>
      </c>
      <c r="I73">
        <v>799</v>
      </c>
      <c r="J73" t="s">
        <v>76</v>
      </c>
      <c r="K73">
        <v>750000</v>
      </c>
      <c r="L73">
        <v>8424</v>
      </c>
      <c r="M73">
        <v>994</v>
      </c>
      <c r="N73">
        <v>0.11799999999999999</v>
      </c>
      <c r="O73">
        <v>755</v>
      </c>
      <c r="P73">
        <v>1024720</v>
      </c>
      <c r="Q73">
        <v>47</v>
      </c>
      <c r="R73">
        <v>45</v>
      </c>
      <c r="S73" t="s">
        <v>29</v>
      </c>
      <c r="T73" t="s">
        <v>40</v>
      </c>
      <c r="U73" t="s">
        <v>31</v>
      </c>
    </row>
    <row r="74" spans="1:21" x14ac:dyDescent="0.45">
      <c r="A74" t="s">
        <v>146</v>
      </c>
      <c r="B74" t="s">
        <v>84</v>
      </c>
      <c r="C74" t="s">
        <v>64</v>
      </c>
      <c r="D74" t="s">
        <v>24</v>
      </c>
      <c r="E74" t="s">
        <v>44</v>
      </c>
      <c r="F74" t="s">
        <v>45</v>
      </c>
      <c r="G74" t="s">
        <v>27</v>
      </c>
      <c r="H74">
        <v>10039</v>
      </c>
      <c r="I74">
        <v>9999</v>
      </c>
      <c r="J74" t="s">
        <v>80</v>
      </c>
      <c r="K74">
        <v>750000</v>
      </c>
      <c r="L74">
        <v>7597</v>
      </c>
      <c r="M74">
        <v>251</v>
      </c>
      <c r="N74">
        <v>3.3000000000000002E-2</v>
      </c>
      <c r="O74">
        <v>2988</v>
      </c>
      <c r="P74">
        <v>3279109</v>
      </c>
      <c r="Q74">
        <v>79</v>
      </c>
      <c r="R74">
        <v>67</v>
      </c>
      <c r="S74" t="s">
        <v>29</v>
      </c>
      <c r="T74" t="s">
        <v>66</v>
      </c>
      <c r="U74" t="s">
        <v>31</v>
      </c>
    </row>
    <row r="75" spans="1:21" x14ac:dyDescent="0.45">
      <c r="A75" t="s">
        <v>147</v>
      </c>
      <c r="B75" t="s">
        <v>87</v>
      </c>
      <c r="C75" t="s">
        <v>51</v>
      </c>
      <c r="D75" t="s">
        <v>75</v>
      </c>
      <c r="E75" t="s">
        <v>53</v>
      </c>
      <c r="F75" t="s">
        <v>26</v>
      </c>
      <c r="G75" t="s">
        <v>27</v>
      </c>
      <c r="H75">
        <v>9102</v>
      </c>
      <c r="I75">
        <v>9999</v>
      </c>
      <c r="J75" t="s">
        <v>28</v>
      </c>
      <c r="K75">
        <v>100000</v>
      </c>
      <c r="L75">
        <v>4048</v>
      </c>
      <c r="M75">
        <v>246</v>
      </c>
      <c r="N75">
        <v>6.08E-2</v>
      </c>
      <c r="O75">
        <v>407</v>
      </c>
      <c r="P75">
        <v>2370745</v>
      </c>
      <c r="Q75">
        <v>62</v>
      </c>
      <c r="R75">
        <v>61</v>
      </c>
      <c r="S75" t="s">
        <v>39</v>
      </c>
      <c r="T75" t="s">
        <v>66</v>
      </c>
      <c r="U75" t="s">
        <v>31</v>
      </c>
    </row>
    <row r="76" spans="1:21" x14ac:dyDescent="0.45">
      <c r="A76" t="s">
        <v>148</v>
      </c>
      <c r="B76" t="s">
        <v>87</v>
      </c>
      <c r="C76" t="s">
        <v>51</v>
      </c>
      <c r="D76" t="s">
        <v>24</v>
      </c>
      <c r="E76" t="s">
        <v>53</v>
      </c>
      <c r="F76" t="s">
        <v>59</v>
      </c>
      <c r="G76" t="s">
        <v>27</v>
      </c>
      <c r="H76">
        <v>709</v>
      </c>
      <c r="I76">
        <v>799</v>
      </c>
      <c r="J76" t="s">
        <v>56</v>
      </c>
      <c r="K76">
        <v>350000</v>
      </c>
      <c r="L76">
        <v>5690</v>
      </c>
      <c r="M76">
        <v>412</v>
      </c>
      <c r="N76">
        <v>7.2400000000000006E-2</v>
      </c>
      <c r="O76">
        <v>850</v>
      </c>
      <c r="P76">
        <v>302428</v>
      </c>
      <c r="Q76">
        <v>94</v>
      </c>
      <c r="R76">
        <v>90</v>
      </c>
      <c r="S76" t="s">
        <v>39</v>
      </c>
      <c r="T76" t="s">
        <v>70</v>
      </c>
      <c r="U76" t="s">
        <v>31</v>
      </c>
    </row>
    <row r="77" spans="1:21" x14ac:dyDescent="0.45">
      <c r="A77" t="s">
        <v>149</v>
      </c>
      <c r="B77" t="s">
        <v>84</v>
      </c>
      <c r="C77" t="s">
        <v>64</v>
      </c>
      <c r="D77" t="s">
        <v>34</v>
      </c>
      <c r="E77" t="s">
        <v>25</v>
      </c>
      <c r="F77" t="s">
        <v>45</v>
      </c>
      <c r="G77" t="s">
        <v>55</v>
      </c>
      <c r="H77">
        <v>5615</v>
      </c>
      <c r="I77">
        <v>4999</v>
      </c>
      <c r="J77" t="s">
        <v>56</v>
      </c>
      <c r="K77">
        <v>100000</v>
      </c>
      <c r="L77">
        <v>7060</v>
      </c>
      <c r="M77">
        <v>530</v>
      </c>
      <c r="N77">
        <v>7.51E-2</v>
      </c>
      <c r="O77">
        <v>189</v>
      </c>
      <c r="P77">
        <v>3066553</v>
      </c>
      <c r="Q77">
        <v>46</v>
      </c>
      <c r="R77">
        <v>68</v>
      </c>
      <c r="S77" t="s">
        <v>29</v>
      </c>
      <c r="T77" t="s">
        <v>66</v>
      </c>
      <c r="U77" t="s">
        <v>31</v>
      </c>
    </row>
    <row r="78" spans="1:21" x14ac:dyDescent="0.45">
      <c r="A78" t="s">
        <v>150</v>
      </c>
      <c r="B78" t="s">
        <v>50</v>
      </c>
      <c r="C78" t="s">
        <v>51</v>
      </c>
      <c r="D78" t="s">
        <v>75</v>
      </c>
      <c r="E78" t="s">
        <v>35</v>
      </c>
      <c r="F78" t="s">
        <v>54</v>
      </c>
      <c r="G78" t="s">
        <v>103</v>
      </c>
      <c r="H78">
        <v>23496</v>
      </c>
      <c r="I78">
        <v>19999</v>
      </c>
      <c r="J78" t="s">
        <v>61</v>
      </c>
      <c r="K78">
        <v>350000</v>
      </c>
      <c r="L78">
        <v>6136</v>
      </c>
      <c r="M78">
        <v>656</v>
      </c>
      <c r="N78">
        <v>0.1069</v>
      </c>
      <c r="O78">
        <v>534</v>
      </c>
      <c r="P78">
        <v>15924748</v>
      </c>
      <c r="Q78">
        <v>89</v>
      </c>
      <c r="R78">
        <v>88</v>
      </c>
      <c r="S78" t="s">
        <v>69</v>
      </c>
      <c r="T78" t="s">
        <v>70</v>
      </c>
      <c r="U78" t="s">
        <v>31</v>
      </c>
    </row>
    <row r="79" spans="1:21" x14ac:dyDescent="0.45">
      <c r="A79" t="s">
        <v>151</v>
      </c>
      <c r="B79" t="s">
        <v>74</v>
      </c>
      <c r="C79" t="s">
        <v>43</v>
      </c>
      <c r="D79" t="s">
        <v>24</v>
      </c>
      <c r="E79" t="s">
        <v>68</v>
      </c>
      <c r="F79" t="s">
        <v>59</v>
      </c>
      <c r="G79" t="s">
        <v>55</v>
      </c>
      <c r="H79">
        <v>8960</v>
      </c>
      <c r="I79">
        <v>9999</v>
      </c>
      <c r="J79" t="s">
        <v>56</v>
      </c>
      <c r="K79">
        <v>500000</v>
      </c>
      <c r="L79">
        <v>8145</v>
      </c>
      <c r="M79">
        <v>238</v>
      </c>
      <c r="N79">
        <v>2.92E-2</v>
      </c>
      <c r="O79">
        <v>2101</v>
      </c>
      <c r="P79">
        <v>2259483</v>
      </c>
      <c r="Q79">
        <v>69</v>
      </c>
      <c r="R79">
        <v>43</v>
      </c>
      <c r="S79" t="s">
        <v>29</v>
      </c>
      <c r="T79" t="s">
        <v>40</v>
      </c>
      <c r="U79" t="s">
        <v>31</v>
      </c>
    </row>
    <row r="80" spans="1:21" x14ac:dyDescent="0.45">
      <c r="A80" t="s">
        <v>152</v>
      </c>
      <c r="B80" t="s">
        <v>50</v>
      </c>
      <c r="C80" t="s">
        <v>51</v>
      </c>
      <c r="D80" t="s">
        <v>34</v>
      </c>
      <c r="E80" t="s">
        <v>35</v>
      </c>
      <c r="F80" t="s">
        <v>59</v>
      </c>
      <c r="G80" t="s">
        <v>103</v>
      </c>
      <c r="H80">
        <v>4667</v>
      </c>
      <c r="I80">
        <v>4999</v>
      </c>
      <c r="J80" t="s">
        <v>61</v>
      </c>
      <c r="K80">
        <v>350000</v>
      </c>
      <c r="L80">
        <v>494</v>
      </c>
      <c r="M80">
        <v>54</v>
      </c>
      <c r="N80">
        <v>0.10929999999999999</v>
      </c>
      <c r="O80">
        <v>6481</v>
      </c>
      <c r="P80">
        <v>252018</v>
      </c>
      <c r="Q80">
        <v>67</v>
      </c>
      <c r="R80">
        <v>76</v>
      </c>
      <c r="S80" t="s">
        <v>29</v>
      </c>
      <c r="T80" t="s">
        <v>30</v>
      </c>
      <c r="U80" t="s">
        <v>31</v>
      </c>
    </row>
    <row r="81" spans="1:21" x14ac:dyDescent="0.45">
      <c r="A81" t="s">
        <v>153</v>
      </c>
      <c r="B81" t="s">
        <v>84</v>
      </c>
      <c r="C81" t="s">
        <v>64</v>
      </c>
      <c r="D81" t="s">
        <v>34</v>
      </c>
      <c r="E81" t="s">
        <v>35</v>
      </c>
      <c r="F81" t="s">
        <v>45</v>
      </c>
      <c r="G81" t="s">
        <v>37</v>
      </c>
      <c r="H81">
        <v>30281</v>
      </c>
      <c r="I81">
        <v>29999</v>
      </c>
      <c r="J81" t="s">
        <v>38</v>
      </c>
      <c r="K81">
        <v>200000</v>
      </c>
      <c r="L81">
        <v>5985</v>
      </c>
      <c r="M81">
        <v>598</v>
      </c>
      <c r="N81">
        <v>9.9900000000000003E-2</v>
      </c>
      <c r="O81">
        <v>334</v>
      </c>
      <c r="P81">
        <v>19496477</v>
      </c>
      <c r="Q81">
        <v>87</v>
      </c>
      <c r="R81">
        <v>54</v>
      </c>
      <c r="S81" t="s">
        <v>78</v>
      </c>
      <c r="T81" t="s">
        <v>40</v>
      </c>
      <c r="U81" t="s">
        <v>31</v>
      </c>
    </row>
    <row r="82" spans="1:21" x14ac:dyDescent="0.45">
      <c r="A82" t="s">
        <v>154</v>
      </c>
      <c r="B82" t="s">
        <v>50</v>
      </c>
      <c r="C82" t="s">
        <v>51</v>
      </c>
      <c r="D82" t="s">
        <v>24</v>
      </c>
      <c r="E82" t="s">
        <v>35</v>
      </c>
      <c r="F82" t="s">
        <v>59</v>
      </c>
      <c r="G82" t="s">
        <v>103</v>
      </c>
      <c r="H82">
        <v>20335</v>
      </c>
      <c r="I82">
        <v>19999</v>
      </c>
      <c r="J82" t="s">
        <v>80</v>
      </c>
      <c r="K82">
        <v>100000</v>
      </c>
      <c r="L82">
        <v>1783</v>
      </c>
      <c r="M82">
        <v>183</v>
      </c>
      <c r="N82">
        <v>0.1026</v>
      </c>
      <c r="O82">
        <v>546</v>
      </c>
      <c r="P82">
        <v>3416719</v>
      </c>
      <c r="Q82">
        <v>47</v>
      </c>
      <c r="R82">
        <v>41</v>
      </c>
      <c r="S82" t="s">
        <v>48</v>
      </c>
      <c r="T82" t="s">
        <v>40</v>
      </c>
      <c r="U82" t="s">
        <v>31</v>
      </c>
    </row>
    <row r="83" spans="1:21" x14ac:dyDescent="0.45">
      <c r="A83" t="s">
        <v>155</v>
      </c>
      <c r="B83" t="s">
        <v>33</v>
      </c>
      <c r="C83" t="s">
        <v>23</v>
      </c>
      <c r="D83" t="s">
        <v>75</v>
      </c>
      <c r="E83" t="s">
        <v>53</v>
      </c>
      <c r="F83" t="s">
        <v>36</v>
      </c>
      <c r="G83" t="s">
        <v>60</v>
      </c>
      <c r="H83">
        <v>3202</v>
      </c>
      <c r="I83">
        <v>2999</v>
      </c>
      <c r="J83" t="s">
        <v>28</v>
      </c>
      <c r="K83">
        <v>500000</v>
      </c>
      <c r="L83">
        <v>2391</v>
      </c>
      <c r="M83">
        <v>262</v>
      </c>
      <c r="N83">
        <v>0.1096</v>
      </c>
      <c r="O83">
        <v>1908</v>
      </c>
      <c r="P83">
        <v>1050516</v>
      </c>
      <c r="Q83">
        <v>53</v>
      </c>
      <c r="R83">
        <v>73</v>
      </c>
      <c r="S83" t="s">
        <v>29</v>
      </c>
      <c r="T83" t="s">
        <v>30</v>
      </c>
      <c r="U83" t="s">
        <v>31</v>
      </c>
    </row>
    <row r="84" spans="1:21" x14ac:dyDescent="0.45">
      <c r="A84" t="s">
        <v>156</v>
      </c>
      <c r="B84" t="s">
        <v>82</v>
      </c>
      <c r="C84" t="s">
        <v>64</v>
      </c>
      <c r="D84" t="s">
        <v>24</v>
      </c>
      <c r="E84" t="s">
        <v>35</v>
      </c>
      <c r="F84" t="s">
        <v>59</v>
      </c>
      <c r="G84" t="s">
        <v>55</v>
      </c>
      <c r="H84">
        <v>35481</v>
      </c>
      <c r="I84">
        <v>29999</v>
      </c>
      <c r="J84" t="s">
        <v>28</v>
      </c>
      <c r="K84">
        <v>50000</v>
      </c>
      <c r="L84">
        <v>1576</v>
      </c>
      <c r="M84">
        <v>33</v>
      </c>
      <c r="N84">
        <v>2.0899999999999998E-2</v>
      </c>
      <c r="O84">
        <v>1515</v>
      </c>
      <c r="P84">
        <v>1182484</v>
      </c>
      <c r="Q84">
        <v>53</v>
      </c>
      <c r="R84">
        <v>70</v>
      </c>
      <c r="S84" t="s">
        <v>69</v>
      </c>
      <c r="T84" t="s">
        <v>30</v>
      </c>
      <c r="U84" t="s">
        <v>31</v>
      </c>
    </row>
    <row r="85" spans="1:21" x14ac:dyDescent="0.45">
      <c r="A85" t="s">
        <v>157</v>
      </c>
      <c r="B85" t="s">
        <v>58</v>
      </c>
      <c r="C85" t="s">
        <v>23</v>
      </c>
      <c r="D85" t="s">
        <v>65</v>
      </c>
      <c r="E85" t="s">
        <v>68</v>
      </c>
      <c r="F85" t="s">
        <v>54</v>
      </c>
      <c r="G85" t="s">
        <v>103</v>
      </c>
      <c r="H85">
        <v>8558</v>
      </c>
      <c r="I85">
        <v>9999</v>
      </c>
      <c r="J85" t="s">
        <v>56</v>
      </c>
      <c r="K85">
        <v>100000</v>
      </c>
      <c r="L85">
        <v>3703</v>
      </c>
      <c r="M85">
        <v>154</v>
      </c>
      <c r="N85">
        <v>4.1599999999999998E-2</v>
      </c>
      <c r="O85">
        <v>649</v>
      </c>
      <c r="P85">
        <v>2075885</v>
      </c>
      <c r="Q85">
        <v>87</v>
      </c>
      <c r="R85">
        <v>73</v>
      </c>
      <c r="S85" t="s">
        <v>39</v>
      </c>
      <c r="T85" t="s">
        <v>30</v>
      </c>
      <c r="U85" t="s">
        <v>31</v>
      </c>
    </row>
    <row r="86" spans="1:21" x14ac:dyDescent="0.45">
      <c r="A86" t="s">
        <v>158</v>
      </c>
      <c r="B86" t="s">
        <v>42</v>
      </c>
      <c r="C86" t="s">
        <v>43</v>
      </c>
      <c r="D86" t="s">
        <v>24</v>
      </c>
      <c r="E86" t="s">
        <v>35</v>
      </c>
      <c r="F86" t="s">
        <v>36</v>
      </c>
      <c r="G86" t="s">
        <v>103</v>
      </c>
      <c r="H86">
        <v>20109</v>
      </c>
      <c r="I86">
        <v>19999</v>
      </c>
      <c r="J86" t="s">
        <v>28</v>
      </c>
      <c r="K86">
        <v>100000</v>
      </c>
      <c r="L86">
        <v>6457</v>
      </c>
      <c r="M86">
        <v>427</v>
      </c>
      <c r="N86">
        <v>6.6100000000000006E-2</v>
      </c>
      <c r="O86">
        <v>234</v>
      </c>
      <c r="P86">
        <v>11300585</v>
      </c>
      <c r="Q86">
        <v>75</v>
      </c>
      <c r="R86">
        <v>98</v>
      </c>
      <c r="S86" t="s">
        <v>29</v>
      </c>
      <c r="T86" t="s">
        <v>70</v>
      </c>
      <c r="U86" t="s">
        <v>31</v>
      </c>
    </row>
    <row r="87" spans="1:21" x14ac:dyDescent="0.45">
      <c r="A87" t="s">
        <v>159</v>
      </c>
      <c r="B87" t="s">
        <v>42</v>
      </c>
      <c r="C87" t="s">
        <v>43</v>
      </c>
      <c r="D87" t="s">
        <v>34</v>
      </c>
      <c r="E87" t="s">
        <v>68</v>
      </c>
      <c r="F87" t="s">
        <v>36</v>
      </c>
      <c r="G87" t="s">
        <v>60</v>
      </c>
      <c r="H87">
        <v>3077</v>
      </c>
      <c r="I87">
        <v>2999</v>
      </c>
      <c r="J87" t="s">
        <v>47</v>
      </c>
      <c r="K87">
        <v>100000</v>
      </c>
      <c r="L87">
        <v>2442</v>
      </c>
      <c r="M87">
        <v>144</v>
      </c>
      <c r="N87">
        <v>5.8999999999999997E-2</v>
      </c>
      <c r="O87">
        <v>694</v>
      </c>
      <c r="P87">
        <v>589397</v>
      </c>
      <c r="Q87">
        <v>94</v>
      </c>
      <c r="R87">
        <v>43</v>
      </c>
      <c r="S87" t="s">
        <v>78</v>
      </c>
      <c r="T87" t="s">
        <v>40</v>
      </c>
      <c r="U87" t="s">
        <v>31</v>
      </c>
    </row>
    <row r="88" spans="1:21" x14ac:dyDescent="0.45">
      <c r="A88" t="s">
        <v>160</v>
      </c>
      <c r="B88" t="s">
        <v>82</v>
      </c>
      <c r="C88" t="s">
        <v>64</v>
      </c>
      <c r="D88" t="s">
        <v>34</v>
      </c>
      <c r="E88" t="s">
        <v>25</v>
      </c>
      <c r="F88" t="s">
        <v>36</v>
      </c>
      <c r="G88" t="s">
        <v>27</v>
      </c>
      <c r="H88">
        <v>739</v>
      </c>
      <c r="I88">
        <v>799</v>
      </c>
      <c r="J88" t="s">
        <v>76</v>
      </c>
      <c r="K88">
        <v>100000</v>
      </c>
      <c r="L88">
        <v>5225</v>
      </c>
      <c r="M88">
        <v>398</v>
      </c>
      <c r="N88">
        <v>7.6200000000000004E-2</v>
      </c>
      <c r="O88">
        <v>251</v>
      </c>
      <c r="P88">
        <v>433868</v>
      </c>
      <c r="Q88">
        <v>71</v>
      </c>
      <c r="R88">
        <v>94</v>
      </c>
      <c r="S88" t="s">
        <v>39</v>
      </c>
      <c r="T88" t="s">
        <v>70</v>
      </c>
      <c r="U88" t="s">
        <v>31</v>
      </c>
    </row>
    <row r="89" spans="1:21" x14ac:dyDescent="0.45">
      <c r="A89" t="s">
        <v>161</v>
      </c>
      <c r="B89" t="s">
        <v>22</v>
      </c>
      <c r="C89" t="s">
        <v>23</v>
      </c>
      <c r="D89" t="s">
        <v>65</v>
      </c>
      <c r="E89" t="s">
        <v>25</v>
      </c>
      <c r="F89" t="s">
        <v>45</v>
      </c>
      <c r="G89" t="s">
        <v>103</v>
      </c>
      <c r="H89">
        <v>8919</v>
      </c>
      <c r="I89">
        <v>9999</v>
      </c>
      <c r="J89" t="s">
        <v>80</v>
      </c>
      <c r="K89">
        <v>50000</v>
      </c>
      <c r="L89">
        <v>1153</v>
      </c>
      <c r="M89">
        <v>154</v>
      </c>
      <c r="N89">
        <v>0.1336</v>
      </c>
      <c r="O89">
        <v>325</v>
      </c>
      <c r="P89">
        <v>1665136</v>
      </c>
      <c r="Q89">
        <v>74</v>
      </c>
      <c r="R89">
        <v>49</v>
      </c>
      <c r="S89" t="s">
        <v>78</v>
      </c>
      <c r="T89" t="s">
        <v>40</v>
      </c>
      <c r="U89" t="s">
        <v>31</v>
      </c>
    </row>
    <row r="90" spans="1:21" x14ac:dyDescent="0.45">
      <c r="A90" t="s">
        <v>162</v>
      </c>
      <c r="B90" t="s">
        <v>22</v>
      </c>
      <c r="C90" t="s">
        <v>23</v>
      </c>
      <c r="D90" t="s">
        <v>52</v>
      </c>
      <c r="E90" t="s">
        <v>35</v>
      </c>
      <c r="F90" t="s">
        <v>45</v>
      </c>
      <c r="G90" t="s">
        <v>103</v>
      </c>
      <c r="H90">
        <v>36159</v>
      </c>
      <c r="I90">
        <v>29999</v>
      </c>
      <c r="J90" t="s">
        <v>80</v>
      </c>
      <c r="K90">
        <v>500000</v>
      </c>
      <c r="L90">
        <v>2296</v>
      </c>
      <c r="M90">
        <v>272</v>
      </c>
      <c r="N90">
        <v>0.11849999999999999</v>
      </c>
      <c r="O90">
        <v>1838</v>
      </c>
      <c r="P90">
        <v>9205072</v>
      </c>
      <c r="Q90">
        <v>92</v>
      </c>
      <c r="R90">
        <v>44</v>
      </c>
      <c r="S90" t="s">
        <v>39</v>
      </c>
      <c r="T90" t="s">
        <v>40</v>
      </c>
      <c r="U90" t="s">
        <v>31</v>
      </c>
    </row>
    <row r="91" spans="1:21" x14ac:dyDescent="0.45">
      <c r="A91" t="s">
        <v>163</v>
      </c>
      <c r="B91" t="s">
        <v>33</v>
      </c>
      <c r="C91" t="s">
        <v>23</v>
      </c>
      <c r="D91" t="s">
        <v>34</v>
      </c>
      <c r="E91" t="s">
        <v>68</v>
      </c>
      <c r="F91" t="s">
        <v>36</v>
      </c>
      <c r="G91" t="s">
        <v>27</v>
      </c>
      <c r="H91">
        <v>4544</v>
      </c>
      <c r="I91">
        <v>4999</v>
      </c>
      <c r="J91" t="s">
        <v>28</v>
      </c>
      <c r="K91">
        <v>50000</v>
      </c>
      <c r="L91">
        <v>1141</v>
      </c>
      <c r="M91">
        <v>58</v>
      </c>
      <c r="N91">
        <v>5.0799999999999998E-2</v>
      </c>
      <c r="O91">
        <v>862</v>
      </c>
      <c r="P91">
        <v>340934</v>
      </c>
      <c r="Q91">
        <v>85</v>
      </c>
      <c r="R91">
        <v>82</v>
      </c>
      <c r="S91" t="s">
        <v>29</v>
      </c>
      <c r="T91" t="s">
        <v>30</v>
      </c>
      <c r="U91" t="s">
        <v>31</v>
      </c>
    </row>
    <row r="92" spans="1:21" x14ac:dyDescent="0.45">
      <c r="A92" t="s">
        <v>164</v>
      </c>
      <c r="B92" t="s">
        <v>84</v>
      </c>
      <c r="C92" t="s">
        <v>64</v>
      </c>
      <c r="D92" t="s">
        <v>75</v>
      </c>
      <c r="E92" t="s">
        <v>44</v>
      </c>
      <c r="F92" t="s">
        <v>54</v>
      </c>
      <c r="G92" t="s">
        <v>103</v>
      </c>
      <c r="H92">
        <v>6025</v>
      </c>
      <c r="I92">
        <v>4999</v>
      </c>
      <c r="J92" t="s">
        <v>56</v>
      </c>
      <c r="K92">
        <v>100000</v>
      </c>
      <c r="L92">
        <v>4915</v>
      </c>
      <c r="M92">
        <v>274</v>
      </c>
      <c r="N92">
        <v>5.57E-2</v>
      </c>
      <c r="O92">
        <v>365</v>
      </c>
      <c r="P92">
        <v>1389038</v>
      </c>
      <c r="Q92">
        <v>68</v>
      </c>
      <c r="R92">
        <v>61</v>
      </c>
      <c r="S92" t="s">
        <v>39</v>
      </c>
      <c r="T92" t="s">
        <v>66</v>
      </c>
      <c r="U92" t="s">
        <v>31</v>
      </c>
    </row>
    <row r="93" spans="1:21" x14ac:dyDescent="0.45">
      <c r="A93" t="s">
        <v>165</v>
      </c>
      <c r="B93" t="s">
        <v>50</v>
      </c>
      <c r="C93" t="s">
        <v>51</v>
      </c>
      <c r="D93" t="s">
        <v>65</v>
      </c>
      <c r="E93" t="s">
        <v>68</v>
      </c>
      <c r="F93" t="s">
        <v>45</v>
      </c>
      <c r="G93" t="s">
        <v>103</v>
      </c>
      <c r="H93">
        <v>11168</v>
      </c>
      <c r="I93">
        <v>9999</v>
      </c>
      <c r="J93" t="s">
        <v>56</v>
      </c>
      <c r="K93">
        <v>200000</v>
      </c>
      <c r="L93">
        <v>2803</v>
      </c>
      <c r="M93">
        <v>367</v>
      </c>
      <c r="N93">
        <v>0.13089999999999999</v>
      </c>
      <c r="O93">
        <v>545</v>
      </c>
      <c r="P93">
        <v>4405107</v>
      </c>
      <c r="Q93">
        <v>86</v>
      </c>
      <c r="R93">
        <v>96</v>
      </c>
      <c r="S93" t="s">
        <v>39</v>
      </c>
      <c r="T93" t="s">
        <v>70</v>
      </c>
      <c r="U93" t="s">
        <v>31</v>
      </c>
    </row>
    <row r="94" spans="1:21" x14ac:dyDescent="0.45">
      <c r="A94" t="s">
        <v>166</v>
      </c>
      <c r="B94" t="s">
        <v>92</v>
      </c>
      <c r="C94" t="s">
        <v>51</v>
      </c>
      <c r="D94" t="s">
        <v>52</v>
      </c>
      <c r="E94" t="s">
        <v>68</v>
      </c>
      <c r="F94" t="s">
        <v>45</v>
      </c>
      <c r="G94" t="s">
        <v>103</v>
      </c>
      <c r="H94">
        <v>5048</v>
      </c>
      <c r="I94">
        <v>4999</v>
      </c>
      <c r="J94" t="s">
        <v>56</v>
      </c>
      <c r="K94">
        <v>200000</v>
      </c>
      <c r="L94">
        <v>7283</v>
      </c>
      <c r="M94">
        <v>293</v>
      </c>
      <c r="N94">
        <v>4.02E-2</v>
      </c>
      <c r="O94">
        <v>683</v>
      </c>
      <c r="P94">
        <v>1805728</v>
      </c>
      <c r="Q94">
        <v>68</v>
      </c>
      <c r="R94">
        <v>47</v>
      </c>
      <c r="S94" t="s">
        <v>69</v>
      </c>
      <c r="T94" t="s">
        <v>40</v>
      </c>
      <c r="U94" t="s">
        <v>31</v>
      </c>
    </row>
    <row r="95" spans="1:21" x14ac:dyDescent="0.45">
      <c r="A95" t="s">
        <v>167</v>
      </c>
      <c r="B95" t="s">
        <v>63</v>
      </c>
      <c r="C95" t="s">
        <v>64</v>
      </c>
      <c r="D95" t="s">
        <v>34</v>
      </c>
      <c r="E95" t="s">
        <v>68</v>
      </c>
      <c r="F95" t="s">
        <v>59</v>
      </c>
      <c r="G95" t="s">
        <v>37</v>
      </c>
      <c r="H95">
        <v>4165</v>
      </c>
      <c r="I95">
        <v>4999</v>
      </c>
      <c r="J95" t="s">
        <v>28</v>
      </c>
      <c r="K95">
        <v>200000</v>
      </c>
      <c r="L95">
        <v>8615</v>
      </c>
      <c r="M95">
        <v>509</v>
      </c>
      <c r="N95">
        <v>5.91E-2</v>
      </c>
      <c r="O95">
        <v>393</v>
      </c>
      <c r="P95">
        <v>3298425</v>
      </c>
      <c r="Q95">
        <v>63</v>
      </c>
      <c r="R95">
        <v>78</v>
      </c>
      <c r="S95" t="s">
        <v>29</v>
      </c>
      <c r="T95" t="s">
        <v>30</v>
      </c>
      <c r="U95" t="s">
        <v>31</v>
      </c>
    </row>
    <row r="96" spans="1:21" x14ac:dyDescent="0.45">
      <c r="A96" t="s">
        <v>168</v>
      </c>
      <c r="B96" t="s">
        <v>63</v>
      </c>
      <c r="C96" t="s">
        <v>64</v>
      </c>
      <c r="D96" t="s">
        <v>34</v>
      </c>
      <c r="E96" t="s">
        <v>35</v>
      </c>
      <c r="F96" t="s">
        <v>26</v>
      </c>
      <c r="G96" t="s">
        <v>103</v>
      </c>
      <c r="H96">
        <v>2582</v>
      </c>
      <c r="I96">
        <v>2999</v>
      </c>
      <c r="J96" t="s">
        <v>56</v>
      </c>
      <c r="K96">
        <v>750000</v>
      </c>
      <c r="L96">
        <v>1248</v>
      </c>
      <c r="M96">
        <v>84</v>
      </c>
      <c r="N96">
        <v>6.7299999999999999E-2</v>
      </c>
      <c r="O96">
        <v>8929</v>
      </c>
      <c r="P96">
        <v>279707</v>
      </c>
      <c r="Q96">
        <v>63</v>
      </c>
      <c r="R96">
        <v>66</v>
      </c>
      <c r="S96" t="s">
        <v>48</v>
      </c>
      <c r="T96" t="s">
        <v>66</v>
      </c>
      <c r="U96" t="s">
        <v>31</v>
      </c>
    </row>
    <row r="97" spans="1:21" x14ac:dyDescent="0.45">
      <c r="A97" t="s">
        <v>169</v>
      </c>
      <c r="B97" t="s">
        <v>74</v>
      </c>
      <c r="C97" t="s">
        <v>43</v>
      </c>
      <c r="D97" t="s">
        <v>52</v>
      </c>
      <c r="E97" t="s">
        <v>44</v>
      </c>
      <c r="F97" t="s">
        <v>45</v>
      </c>
      <c r="G97" t="s">
        <v>37</v>
      </c>
      <c r="H97">
        <v>700</v>
      </c>
      <c r="I97">
        <v>799</v>
      </c>
      <c r="J97" t="s">
        <v>28</v>
      </c>
      <c r="K97">
        <v>750000</v>
      </c>
      <c r="L97">
        <v>3759</v>
      </c>
      <c r="M97">
        <v>322</v>
      </c>
      <c r="N97">
        <v>8.5699999999999998E-2</v>
      </c>
      <c r="O97">
        <v>2329</v>
      </c>
      <c r="P97">
        <v>321265</v>
      </c>
      <c r="Q97">
        <v>76</v>
      </c>
      <c r="R97">
        <v>59</v>
      </c>
      <c r="S97" t="s">
        <v>78</v>
      </c>
      <c r="T97" t="s">
        <v>66</v>
      </c>
      <c r="U97" t="s">
        <v>31</v>
      </c>
    </row>
    <row r="98" spans="1:21" x14ac:dyDescent="0.45">
      <c r="A98" t="s">
        <v>170</v>
      </c>
      <c r="B98" t="s">
        <v>84</v>
      </c>
      <c r="C98" t="s">
        <v>64</v>
      </c>
      <c r="D98" t="s">
        <v>52</v>
      </c>
      <c r="E98" t="s">
        <v>25</v>
      </c>
      <c r="F98" t="s">
        <v>59</v>
      </c>
      <c r="G98" t="s">
        <v>103</v>
      </c>
      <c r="H98">
        <v>4892</v>
      </c>
      <c r="I98">
        <v>4999</v>
      </c>
      <c r="J98" t="s">
        <v>76</v>
      </c>
      <c r="K98">
        <v>50000</v>
      </c>
      <c r="L98">
        <v>2684</v>
      </c>
      <c r="M98">
        <v>61</v>
      </c>
      <c r="N98">
        <v>2.2700000000000001E-2</v>
      </c>
      <c r="O98">
        <v>820</v>
      </c>
      <c r="P98">
        <v>389548</v>
      </c>
      <c r="Q98">
        <v>63</v>
      </c>
      <c r="R98">
        <v>69</v>
      </c>
      <c r="S98" t="s">
        <v>69</v>
      </c>
      <c r="T98" t="s">
        <v>66</v>
      </c>
      <c r="U98" t="s">
        <v>31</v>
      </c>
    </row>
    <row r="99" spans="1:21" x14ac:dyDescent="0.45">
      <c r="A99" t="s">
        <v>171</v>
      </c>
      <c r="B99" t="s">
        <v>63</v>
      </c>
      <c r="C99" t="s">
        <v>64</v>
      </c>
      <c r="D99" t="s">
        <v>34</v>
      </c>
      <c r="E99" t="s">
        <v>68</v>
      </c>
      <c r="F99" t="s">
        <v>26</v>
      </c>
      <c r="G99" t="s">
        <v>37</v>
      </c>
      <c r="H99">
        <v>1576</v>
      </c>
      <c r="I99">
        <v>1499</v>
      </c>
      <c r="J99" t="s">
        <v>76</v>
      </c>
      <c r="K99">
        <v>200000</v>
      </c>
      <c r="L99">
        <v>433</v>
      </c>
      <c r="M99">
        <v>32</v>
      </c>
      <c r="N99">
        <v>7.3899999999999993E-2</v>
      </c>
      <c r="O99">
        <v>6250</v>
      </c>
      <c r="P99">
        <v>56751</v>
      </c>
      <c r="Q99">
        <v>64</v>
      </c>
      <c r="R99">
        <v>61</v>
      </c>
      <c r="S99" t="s">
        <v>48</v>
      </c>
      <c r="T99" t="s">
        <v>66</v>
      </c>
      <c r="U99" t="s">
        <v>31</v>
      </c>
    </row>
    <row r="100" spans="1:21" x14ac:dyDescent="0.45">
      <c r="A100" t="s">
        <v>172</v>
      </c>
      <c r="B100" t="s">
        <v>42</v>
      </c>
      <c r="C100" t="s">
        <v>43</v>
      </c>
      <c r="D100" t="s">
        <v>75</v>
      </c>
      <c r="E100" t="s">
        <v>53</v>
      </c>
      <c r="F100" t="s">
        <v>45</v>
      </c>
      <c r="G100" t="s">
        <v>60</v>
      </c>
      <c r="H100">
        <v>853</v>
      </c>
      <c r="I100">
        <v>799</v>
      </c>
      <c r="J100" t="s">
        <v>56</v>
      </c>
      <c r="K100">
        <v>500000</v>
      </c>
      <c r="L100">
        <v>4812</v>
      </c>
      <c r="M100">
        <v>661</v>
      </c>
      <c r="N100">
        <v>0.13739999999999999</v>
      </c>
      <c r="O100">
        <v>756</v>
      </c>
      <c r="P100">
        <v>525241</v>
      </c>
      <c r="Q100">
        <v>61</v>
      </c>
      <c r="R100">
        <v>45</v>
      </c>
      <c r="S100" t="s">
        <v>78</v>
      </c>
      <c r="T100" t="s">
        <v>40</v>
      </c>
      <c r="U100" t="s">
        <v>31</v>
      </c>
    </row>
    <row r="101" spans="1:21" x14ac:dyDescent="0.45">
      <c r="A101" t="s">
        <v>173</v>
      </c>
      <c r="B101" t="s">
        <v>58</v>
      </c>
      <c r="C101" t="s">
        <v>23</v>
      </c>
      <c r="D101" t="s">
        <v>75</v>
      </c>
      <c r="E101" t="s">
        <v>68</v>
      </c>
      <c r="F101" t="s">
        <v>45</v>
      </c>
      <c r="G101" t="s">
        <v>37</v>
      </c>
      <c r="H101">
        <v>3378</v>
      </c>
      <c r="I101">
        <v>2999</v>
      </c>
      <c r="J101" t="s">
        <v>38</v>
      </c>
      <c r="K101">
        <v>350000</v>
      </c>
      <c r="L101">
        <v>8346</v>
      </c>
      <c r="M101">
        <v>970</v>
      </c>
      <c r="N101">
        <v>0.1162</v>
      </c>
      <c r="O101">
        <v>361</v>
      </c>
      <c r="P101">
        <v>3529152</v>
      </c>
      <c r="Q101">
        <v>94</v>
      </c>
      <c r="R101">
        <v>55</v>
      </c>
      <c r="S101" t="s">
        <v>39</v>
      </c>
      <c r="T101" t="s">
        <v>66</v>
      </c>
      <c r="U101" t="s">
        <v>31</v>
      </c>
    </row>
    <row r="102" spans="1:21" x14ac:dyDescent="0.45">
      <c r="A102" t="s">
        <v>174</v>
      </c>
      <c r="B102" t="s">
        <v>63</v>
      </c>
      <c r="C102" t="s">
        <v>64</v>
      </c>
      <c r="D102" t="s">
        <v>75</v>
      </c>
      <c r="E102" t="s">
        <v>35</v>
      </c>
      <c r="F102" t="s">
        <v>59</v>
      </c>
      <c r="G102" t="s">
        <v>55</v>
      </c>
      <c r="H102">
        <v>28643</v>
      </c>
      <c r="I102">
        <v>29999</v>
      </c>
      <c r="J102" t="s">
        <v>47</v>
      </c>
      <c r="K102">
        <v>50000</v>
      </c>
      <c r="L102">
        <v>6263</v>
      </c>
      <c r="M102">
        <v>486</v>
      </c>
      <c r="N102">
        <v>7.7600000000000002E-2</v>
      </c>
      <c r="O102">
        <v>103</v>
      </c>
      <c r="P102">
        <v>13542647</v>
      </c>
      <c r="Q102">
        <v>69</v>
      </c>
      <c r="R102">
        <v>86</v>
      </c>
      <c r="S102" t="s">
        <v>29</v>
      </c>
      <c r="T102" t="s">
        <v>30</v>
      </c>
      <c r="U102" t="s">
        <v>31</v>
      </c>
    </row>
    <row r="103" spans="1:21" x14ac:dyDescent="0.45">
      <c r="A103" t="s">
        <v>175</v>
      </c>
      <c r="B103" t="s">
        <v>87</v>
      </c>
      <c r="C103" t="s">
        <v>51</v>
      </c>
      <c r="D103" t="s">
        <v>75</v>
      </c>
      <c r="E103" t="s">
        <v>25</v>
      </c>
      <c r="F103" t="s">
        <v>26</v>
      </c>
      <c r="G103" t="s">
        <v>37</v>
      </c>
      <c r="H103">
        <v>10912</v>
      </c>
      <c r="I103">
        <v>9999</v>
      </c>
      <c r="J103" t="s">
        <v>28</v>
      </c>
      <c r="K103">
        <v>50000</v>
      </c>
      <c r="L103">
        <v>6772</v>
      </c>
      <c r="M103">
        <v>728</v>
      </c>
      <c r="N103">
        <v>0.1075</v>
      </c>
      <c r="O103">
        <v>69</v>
      </c>
      <c r="P103">
        <v>9637411</v>
      </c>
      <c r="Q103">
        <v>52</v>
      </c>
      <c r="R103">
        <v>75</v>
      </c>
      <c r="S103" t="s">
        <v>69</v>
      </c>
      <c r="T103" t="s">
        <v>30</v>
      </c>
      <c r="U103" t="s">
        <v>31</v>
      </c>
    </row>
    <row r="104" spans="1:21" x14ac:dyDescent="0.45">
      <c r="A104" t="s">
        <v>176</v>
      </c>
      <c r="B104" t="s">
        <v>72</v>
      </c>
      <c r="C104" t="s">
        <v>43</v>
      </c>
      <c r="D104" t="s">
        <v>52</v>
      </c>
      <c r="E104" t="s">
        <v>35</v>
      </c>
      <c r="F104" t="s">
        <v>26</v>
      </c>
      <c r="G104" t="s">
        <v>55</v>
      </c>
      <c r="H104">
        <v>2994</v>
      </c>
      <c r="I104">
        <v>2999</v>
      </c>
      <c r="J104" t="s">
        <v>61</v>
      </c>
      <c r="K104">
        <v>200000</v>
      </c>
      <c r="L104">
        <v>8166</v>
      </c>
      <c r="M104">
        <v>206</v>
      </c>
      <c r="N104">
        <v>2.52E-2</v>
      </c>
      <c r="O104">
        <v>971</v>
      </c>
      <c r="P104">
        <v>788392</v>
      </c>
      <c r="Q104">
        <v>70</v>
      </c>
      <c r="R104">
        <v>44</v>
      </c>
      <c r="S104" t="s">
        <v>48</v>
      </c>
      <c r="T104" t="s">
        <v>40</v>
      </c>
      <c r="U104" t="s">
        <v>31</v>
      </c>
    </row>
    <row r="105" spans="1:21" x14ac:dyDescent="0.45">
      <c r="A105" t="s">
        <v>177</v>
      </c>
      <c r="B105" t="s">
        <v>92</v>
      </c>
      <c r="C105" t="s">
        <v>51</v>
      </c>
      <c r="D105" t="s">
        <v>24</v>
      </c>
      <c r="E105" t="s">
        <v>53</v>
      </c>
      <c r="F105" t="s">
        <v>45</v>
      </c>
      <c r="G105" t="s">
        <v>55</v>
      </c>
      <c r="H105">
        <v>29181</v>
      </c>
      <c r="I105">
        <v>29999</v>
      </c>
      <c r="J105" t="s">
        <v>56</v>
      </c>
      <c r="K105">
        <v>350000</v>
      </c>
      <c r="L105">
        <v>5635</v>
      </c>
      <c r="M105">
        <v>196</v>
      </c>
      <c r="N105">
        <v>3.4799999999999998E-2</v>
      </c>
      <c r="O105">
        <v>1786</v>
      </c>
      <c r="P105">
        <v>6384758</v>
      </c>
      <c r="Q105">
        <v>75</v>
      </c>
      <c r="R105">
        <v>63</v>
      </c>
      <c r="S105" t="s">
        <v>69</v>
      </c>
      <c r="T105" t="s">
        <v>66</v>
      </c>
      <c r="U105" t="s">
        <v>31</v>
      </c>
    </row>
    <row r="106" spans="1:21" x14ac:dyDescent="0.45">
      <c r="A106" t="s">
        <v>178</v>
      </c>
      <c r="B106" t="s">
        <v>63</v>
      </c>
      <c r="C106" t="s">
        <v>64</v>
      </c>
      <c r="D106" t="s">
        <v>65</v>
      </c>
      <c r="E106" t="s">
        <v>25</v>
      </c>
      <c r="F106" t="s">
        <v>26</v>
      </c>
      <c r="G106" t="s">
        <v>55</v>
      </c>
      <c r="H106">
        <v>19007</v>
      </c>
      <c r="I106">
        <v>19999</v>
      </c>
      <c r="J106" t="s">
        <v>38</v>
      </c>
      <c r="K106">
        <v>100000</v>
      </c>
      <c r="L106">
        <v>2694</v>
      </c>
      <c r="M106">
        <v>375</v>
      </c>
      <c r="N106">
        <v>0.13919999999999999</v>
      </c>
      <c r="O106">
        <v>267</v>
      </c>
      <c r="P106">
        <v>7191117</v>
      </c>
      <c r="Q106">
        <v>67</v>
      </c>
      <c r="R106">
        <v>88</v>
      </c>
      <c r="S106" t="s">
        <v>69</v>
      </c>
      <c r="T106" t="s">
        <v>30</v>
      </c>
      <c r="U106" t="s">
        <v>31</v>
      </c>
    </row>
    <row r="107" spans="1:21" x14ac:dyDescent="0.45">
      <c r="A107" t="s">
        <v>179</v>
      </c>
      <c r="B107" t="s">
        <v>82</v>
      </c>
      <c r="C107" t="s">
        <v>64</v>
      </c>
      <c r="D107" t="s">
        <v>52</v>
      </c>
      <c r="E107" t="s">
        <v>53</v>
      </c>
      <c r="F107" t="s">
        <v>45</v>
      </c>
      <c r="G107" t="s">
        <v>55</v>
      </c>
      <c r="H107">
        <v>29403</v>
      </c>
      <c r="I107">
        <v>29999</v>
      </c>
      <c r="J107" t="s">
        <v>80</v>
      </c>
      <c r="K107">
        <v>350000</v>
      </c>
      <c r="L107">
        <v>4998</v>
      </c>
      <c r="M107">
        <v>376</v>
      </c>
      <c r="N107">
        <v>7.5200000000000003E-2</v>
      </c>
      <c r="O107">
        <v>931</v>
      </c>
      <c r="P107">
        <v>14035575</v>
      </c>
      <c r="Q107">
        <v>72</v>
      </c>
      <c r="R107">
        <v>71</v>
      </c>
      <c r="S107" t="s">
        <v>78</v>
      </c>
      <c r="T107" t="s">
        <v>30</v>
      </c>
      <c r="U107" t="s">
        <v>31</v>
      </c>
    </row>
    <row r="108" spans="1:21" x14ac:dyDescent="0.45">
      <c r="A108" t="s">
        <v>180</v>
      </c>
      <c r="B108" t="s">
        <v>84</v>
      </c>
      <c r="C108" t="s">
        <v>64</v>
      </c>
      <c r="D108" t="s">
        <v>52</v>
      </c>
      <c r="E108" t="s">
        <v>53</v>
      </c>
      <c r="F108" t="s">
        <v>26</v>
      </c>
      <c r="G108" t="s">
        <v>103</v>
      </c>
      <c r="H108">
        <v>3421</v>
      </c>
      <c r="I108">
        <v>2999</v>
      </c>
      <c r="J108" t="s">
        <v>76</v>
      </c>
      <c r="K108">
        <v>750000</v>
      </c>
      <c r="L108">
        <v>2525</v>
      </c>
      <c r="M108">
        <v>190</v>
      </c>
      <c r="N108">
        <v>7.5200000000000003E-2</v>
      </c>
      <c r="O108">
        <v>3947</v>
      </c>
      <c r="P108">
        <v>722763</v>
      </c>
      <c r="Q108">
        <v>95</v>
      </c>
      <c r="R108">
        <v>74</v>
      </c>
      <c r="S108" t="s">
        <v>69</v>
      </c>
      <c r="T108" t="s">
        <v>30</v>
      </c>
      <c r="U108" t="s">
        <v>31</v>
      </c>
    </row>
    <row r="109" spans="1:21" x14ac:dyDescent="0.45">
      <c r="A109" t="s">
        <v>181</v>
      </c>
      <c r="B109" t="s">
        <v>33</v>
      </c>
      <c r="C109" t="s">
        <v>23</v>
      </c>
      <c r="D109" t="s">
        <v>24</v>
      </c>
      <c r="E109" t="s">
        <v>25</v>
      </c>
      <c r="F109" t="s">
        <v>26</v>
      </c>
      <c r="G109" t="s">
        <v>103</v>
      </c>
      <c r="H109">
        <v>5578</v>
      </c>
      <c r="I109">
        <v>4999</v>
      </c>
      <c r="J109" t="s">
        <v>38</v>
      </c>
      <c r="K109">
        <v>50000</v>
      </c>
      <c r="L109">
        <v>3570</v>
      </c>
      <c r="M109">
        <v>298</v>
      </c>
      <c r="N109">
        <v>8.3500000000000005E-2</v>
      </c>
      <c r="O109">
        <v>168</v>
      </c>
      <c r="P109">
        <v>1553754</v>
      </c>
      <c r="Q109">
        <v>49</v>
      </c>
      <c r="R109">
        <v>62</v>
      </c>
      <c r="S109" t="s">
        <v>39</v>
      </c>
      <c r="T109" t="s">
        <v>66</v>
      </c>
      <c r="U109" t="s">
        <v>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Pivots</vt:lpstr>
      <vt:lpstr>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Atishey Jain</dc:creator>
  <cp:lastModifiedBy>Atishey Jain</cp:lastModifiedBy>
  <dcterms:created xsi:type="dcterms:W3CDTF">2026-06-19T08:40:57Z</dcterms:created>
  <dcterms:modified xsi:type="dcterms:W3CDTF">2026-06-19T09:01:26Z</dcterms:modified>
</cp:coreProperties>
</file>